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charts/chart40.xml" ContentType="application/vnd.openxmlformats-officedocument.drawingml.chart+xml"/>
  <Override PartName="/xl/charts/chart39.xml" ContentType="application/vnd.openxmlformats-officedocument.drawingml.chart+xml"/>
  <Override PartName="/xl/charts/chart38.xml" ContentType="application/vnd.openxmlformats-officedocument.drawingml.chart+xml"/>
  <Override PartName="/xl/workbook.xml" ContentType="application/vnd.openxmlformats-officedocument.spreadsheetml.sheet.main+xml"/>
  <Override PartName="/xl/worksheets/sheet8.xml" ContentType="application/vnd.openxmlformats-officedocument.spreadsheetml.worksheet+xml"/>
  <Override PartName="/xl/charts/chart37.xml" ContentType="application/vnd.openxmlformats-officedocument.drawingml.chart+xml"/>
  <Override PartName="/xl/charts/chart33.xml" ContentType="application/vnd.openxmlformats-officedocument.drawingml.chart+xml"/>
  <Override PartName="/xl/charts/chart31.xml" ContentType="application/vnd.openxmlformats-officedocument.drawingml.chart+xml"/>
  <Override PartName="/xl/charts/chart30.xml" ContentType="application/vnd.openxmlformats-officedocument.drawingml.chart+xml"/>
  <Override PartName="/xl/charts/chart29.xml" ContentType="application/vnd.openxmlformats-officedocument.drawingml.chart+xml"/>
  <Override PartName="/xl/charts/chart28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1.xml" ContentType="application/vnd.openxmlformats-officedocument.drawingml.chart+xml"/>
  <Override PartName="/xl/sharedStrings.xml" ContentType="application/vnd.openxmlformats-officedocument.spreadsheetml.sharedStrings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26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20.xml" ContentType="application/vnd.openxmlformats-officedocument.drawingml.chart+xml"/>
  <Override PartName="/xl/styles.xml" ContentType="application/vnd.openxmlformats-officedocument.spreadsheetml.styles+xml"/>
  <Override PartName="/xl/charts/chart18.xml" ContentType="application/vnd.openxmlformats-officedocument.drawingml.chart+xml"/>
  <Override PartName="/xl/comments1.xml" ContentType="application/vnd.openxmlformats-officedocument.spreadsheetml.comments+xml"/>
  <Override PartName="/xl/charts/chart12.xml" ContentType="application/vnd.openxmlformats-officedocument.drawingml.chart+xml"/>
  <Override PartName="/xl/charts/chart32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charts/chart25.xml" ContentType="application/vnd.openxmlformats-officedocument.drawingml.chart+xml"/>
  <Override PartName="/xl/worksheets/sheet2.xml" ContentType="application/vnd.openxmlformats-officedocument.spreadsheetml.worksheet+xml"/>
  <Override PartName="/xl/charts/chart7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chart6.xml" ContentType="application/vnd.openxmlformats-officedocument.drawingml.chart+xml"/>
  <Override PartName="/xl/charts/chart19.xml" ContentType="application/vnd.openxmlformats-officedocument.drawingml.chart+xml"/>
  <Override PartName="/xl/charts/chart34.xml" ContentType="application/vnd.openxmlformats-officedocument.drawingml.chart+xml"/>
  <Override PartName="/xl/charts/chart4.xml" ContentType="application/vnd.openxmlformats-officedocument.drawingml.chart+xml"/>
  <Override PartName="/xl/worksheets/sheet10.xml" ContentType="application/vnd.openxmlformats-officedocument.spreadsheetml.worksheet+xml"/>
  <Override PartName="/xl/charts/chart11.xml" ContentType="application/vnd.openxmlformats-officedocument.drawingml.chart+xml"/>
  <Override PartName="/xl/charts/chart3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drawings/drawing2.xml" ContentType="application/vnd.openxmlformats-officedocument.drawingml.chartshapes+xml"/>
  <Override PartName="/xl/charts/chart27.xml" ContentType="application/vnd.openxmlformats-officedocument.drawingml.chart+xml"/>
  <Override PartName="/xl/charts/chart2.xml" ContentType="application/vnd.openxmlformats-officedocument.drawingml.chart+xml"/>
  <Override PartName="/xl/charts/chart10.xml" ContentType="application/vnd.openxmlformats-officedocument.drawingml.chart+xml"/>
  <Override PartName="/xl/theme/themeOverride1.xml" ContentType="application/vnd.openxmlformats-officedocument.themeOverride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1"/>
  </bookViews>
  <sheets>
    <sheet name="All_XS_Trimmed" sheetId="10" r:id="rId1"/>
    <sheet name="All_XS_(ft)" sheetId="13" r:id="rId2"/>
    <sheet name="All_XS_(m)" sheetId="6" r:id="rId3"/>
    <sheet name="All_XS_Graphs (m)" sheetId="12" r:id="rId4"/>
    <sheet name="Mod vs Obs (m)" sheetId="14" r:id="rId5"/>
    <sheet name="XS_Analysis (m)" sheetId="15" r:id="rId6"/>
    <sheet name="All_XS_Analysis (ft)" sheetId="8" r:id="rId7"/>
    <sheet name="HR_n04_800cfs" sheetId="2" r:id="rId8"/>
    <sheet name="DGR_n04_539cfs" sheetId="5" r:id="rId9"/>
    <sheet name="LYR_XS" sheetId="1" r:id="rId10"/>
    <sheet name="XS_Depth" sheetId="9" r:id="rId11"/>
    <sheet name="Verr&gt;50%" sheetId="16" r:id="rId12"/>
  </sheets>
  <definedNames>
    <definedName name="_xlnm._FilterDatabase" localSheetId="2" hidden="1">'All_XS_(m)'!$A$3:$K$238</definedName>
    <definedName name="_xlnm._FilterDatabase" localSheetId="0" hidden="1">All_XS_Trimmed!$B$7:$X$206</definedName>
    <definedName name="_xlnm._FilterDatabase" localSheetId="9" hidden="1">LYR_XS!$A$1:$L$256</definedName>
    <definedName name="_xlnm.Print_Area" localSheetId="3">'All_XS_Graphs (m)'!$A$1:$S$152</definedName>
    <definedName name="_xlnm.Print_Area" localSheetId="4">'Mod vs Obs (m)'!$A$1:$I$31</definedName>
  </definedNames>
  <calcPr calcId="162913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Sebastian Schwindt</author>
  </authors>
  <commentList>
    <comment ref="A1" authorId="0">
      <text>
        <r>
          <rPr>
            <b/>
            <sz val="9"/>
            <rFont val="Tahoma"/>
          </rPr>
          <t xml:space="preserve">Sebastian Schwindt:</t>
        </r>
        <r>
          <rPr>
            <sz val="9"/>
            <rFont val="Tahoma"/>
          </rPr>
          <t xml:space="preserve">
Sebastian Schwindt:
Ok, so here is the key file with all the XS-based velocity and depth observation data.
This has both the depth and velocity data from the walking cross-sections we did.
As with the kayak data file, you can find X,Y coordinates to match up observations with your model results.
-Greg</t>
        </r>
      </text>
    </comment>
  </commentList>
</comments>
</file>

<file path=xl/sharedStrings.xml><?xml version="1.0" encoding="utf-8"?>
<sst xmlns="http://schemas.openxmlformats.org/spreadsheetml/2006/main" count="137" uniqueCount="137">
  <si>
    <t>P</t>
  </si>
  <si>
    <t>N</t>
  </si>
  <si>
    <t>E</t>
  </si>
  <si>
    <t>Z</t>
  </si>
  <si>
    <t>D</t>
  </si>
  <si>
    <t>Q</t>
  </si>
  <si>
    <t>VEL_20091208</t>
  </si>
  <si>
    <t>VEL_20091209</t>
  </si>
  <si>
    <t>VEL20091210</t>
  </si>
  <si>
    <t>X1_WSE_RB</t>
  </si>
  <si>
    <t>X1_WSE_LB</t>
  </si>
  <si>
    <t>X2_WSE_LB</t>
  </si>
  <si>
    <t>X2_WSE_RB</t>
  </si>
  <si>
    <t>X3_WSE_LB</t>
  </si>
  <si>
    <t>X4_WSE_LB</t>
  </si>
  <si>
    <t>X5_WSE_RB</t>
  </si>
  <si>
    <t>X5_WSE_LB</t>
  </si>
  <si>
    <t>X6_WSE_LB</t>
  </si>
  <si>
    <t>X7_WSE_LB</t>
  </si>
  <si>
    <t>X8_WSE_RB</t>
  </si>
  <si>
    <t>X8_WSE_LB</t>
  </si>
  <si>
    <t>X9_WSE_LB</t>
  </si>
  <si>
    <t>X9_WSE_RB</t>
  </si>
  <si>
    <t>X10_WSE_RB</t>
  </si>
  <si>
    <t>X10_WSE_LB</t>
  </si>
  <si>
    <t>X11_WSE_LB</t>
  </si>
  <si>
    <t>X11_WSE_RB</t>
  </si>
  <si>
    <t>X12_WSE_RB</t>
  </si>
  <si>
    <t>X13_WSE_RB</t>
  </si>
  <si>
    <t>X14_WSE_LB</t>
  </si>
  <si>
    <t>X14_WSE_RB</t>
  </si>
  <si>
    <t>X15_WSE_LB</t>
  </si>
  <si>
    <t>X15_WSE_RB</t>
  </si>
  <si>
    <t>X16_WSE_RB</t>
  </si>
  <si>
    <t>X17_WSE_RB</t>
  </si>
  <si>
    <t>V_Observed</t>
  </si>
  <si>
    <t>HR_n04_800cfs</t>
  </si>
  <si>
    <t>V_Modeled</t>
  </si>
  <si>
    <t>X2</t>
  </si>
  <si>
    <t>WSE</t>
  </si>
  <si>
    <t>Observed</t>
  </si>
  <si>
    <t>Modeled</t>
  </si>
  <si>
    <t>X2_RB</t>
  </si>
  <si>
    <t>X2_LB</t>
  </si>
  <si>
    <t>X3</t>
  </si>
  <si>
    <t>X3_LB</t>
  </si>
  <si>
    <t>X4</t>
  </si>
  <si>
    <t>X4_LB</t>
  </si>
  <si>
    <t>X5</t>
  </si>
  <si>
    <t>X5_RB</t>
  </si>
  <si>
    <t>X5_LB</t>
  </si>
  <si>
    <t>X6</t>
  </si>
  <si>
    <t>X6_LB</t>
  </si>
  <si>
    <t>X7</t>
  </si>
  <si>
    <t>X7_LB</t>
  </si>
  <si>
    <t>X15</t>
  </si>
  <si>
    <t>X15_LB</t>
  </si>
  <si>
    <t>X15_RB</t>
  </si>
  <si>
    <t>X16</t>
  </si>
  <si>
    <t>X17</t>
  </si>
  <si>
    <t xml:space="preserve">Difference (Mod-Obs)</t>
  </si>
  <si>
    <t>ABS(Diff)</t>
  </si>
  <si>
    <t>X16_RB</t>
  </si>
  <si>
    <t>X17_RB</t>
  </si>
  <si>
    <t>AVERAGE:</t>
  </si>
  <si>
    <t xml:space="preserve">Difference (Mod - Obs)</t>
  </si>
  <si>
    <t>dN</t>
  </si>
  <si>
    <t>dE</t>
  </si>
  <si>
    <t xml:space="preserve">Distance to Previous Point</t>
  </si>
  <si>
    <t xml:space="preserve">Distance to Bank</t>
  </si>
  <si>
    <t>Mean</t>
  </si>
  <si>
    <t xml:space="preserve">Standard Error</t>
  </si>
  <si>
    <t>Median</t>
  </si>
  <si>
    <t xml:space="preserve">Standard Deviation</t>
  </si>
  <si>
    <t xml:space="preserve">Sample Variance</t>
  </si>
  <si>
    <t>Kurtosis</t>
  </si>
  <si>
    <t>Skewness</t>
  </si>
  <si>
    <t>Range</t>
  </si>
  <si>
    <t>Minimum</t>
  </si>
  <si>
    <t>Maximum</t>
  </si>
  <si>
    <t>Sum</t>
  </si>
  <si>
    <t>Count</t>
  </si>
  <si>
    <t xml:space="preserve">Confidence Level(95.0%)</t>
  </si>
  <si>
    <t>More</t>
  </si>
  <si>
    <t>Frequency</t>
  </si>
  <si>
    <t xml:space="preserve">Cumulative %</t>
  </si>
  <si>
    <t xml:space="preserve">Statistics Summary</t>
  </si>
  <si>
    <t>Raw</t>
  </si>
  <si>
    <t xml:space="preserve">Abs. Value</t>
  </si>
  <si>
    <t xml:space="preserve">Threshold (ft)</t>
  </si>
  <si>
    <t>X9</t>
  </si>
  <si>
    <t>X10</t>
  </si>
  <si>
    <t>X11</t>
  </si>
  <si>
    <t>X8</t>
  </si>
  <si>
    <t>X12</t>
  </si>
  <si>
    <t>X13</t>
  </si>
  <si>
    <t>X14</t>
  </si>
  <si>
    <t>X1</t>
  </si>
  <si>
    <t xml:space="preserve">Depth Observed (ft)</t>
  </si>
  <si>
    <t>Velocity</t>
  </si>
  <si>
    <t xml:space="preserve">D_Observed (ft)</t>
  </si>
  <si>
    <t>X</t>
  </si>
  <si>
    <t>Y</t>
  </si>
  <si>
    <t xml:space="preserve">D_Modeled (ft)</t>
  </si>
  <si>
    <t>Depth</t>
  </si>
  <si>
    <t xml:space="preserve">Velocity Differences, Model - Observed (ft/s)</t>
  </si>
  <si>
    <t xml:space="preserve">Depth Differences, Model - Observed (ft/s)</t>
  </si>
  <si>
    <t xml:space="preserve">% Velocity Data Within</t>
  </si>
  <si>
    <t xml:space="preserve">% Depth Data Within</t>
  </si>
  <si>
    <t xml:space="preserve">raw Err %</t>
  </si>
  <si>
    <t xml:space="preserve">abs Err %</t>
  </si>
  <si>
    <t xml:space="preserve">median err %</t>
  </si>
  <si>
    <t xml:space="preserve">mean err %</t>
  </si>
  <si>
    <t>observations=</t>
  </si>
  <si>
    <t xml:space="preserve">Distance to Bank (ft)</t>
  </si>
  <si>
    <t xml:space="preserve">V_Observed (ft/s)</t>
  </si>
  <si>
    <t xml:space="preserve">V_Modeled (ft/s)</t>
  </si>
  <si>
    <t xml:space="preserve">Difference (Mod - Obs) (ft/s)</t>
  </si>
  <si>
    <t xml:space="preserve">ABS(Diff) (ft/s)</t>
  </si>
  <si>
    <t xml:space="preserve">Difference (Mod - Obs) (ft)</t>
  </si>
  <si>
    <t xml:space="preserve">ABS(Diff) (ft)</t>
  </si>
  <si>
    <t xml:space="preserve">Distance to Bank (m)</t>
  </si>
  <si>
    <t xml:space="preserve">V_Observed (m/s)</t>
  </si>
  <si>
    <t xml:space="preserve">V_Modeled (m/s)</t>
  </si>
  <si>
    <t xml:space="preserve">Difference (Mod - Obs) (m/s)</t>
  </si>
  <si>
    <t xml:space="preserve">ABS(Diff) (m/s)</t>
  </si>
  <si>
    <t xml:space="preserve">D_Observed (m)</t>
  </si>
  <si>
    <t xml:space="preserve">D_Modeled (m)</t>
  </si>
  <si>
    <t xml:space="preserve">Difference (Mod - Obs) (m)</t>
  </si>
  <si>
    <t xml:space="preserve">ABS(Diff) (m)</t>
  </si>
  <si>
    <t xml:space="preserve">Velocity (m/s)</t>
  </si>
  <si>
    <t xml:space="preserve">Depth (m)</t>
  </si>
  <si>
    <t xml:space="preserve">Distance from Bank (m)</t>
  </si>
  <si>
    <t>Bin</t>
  </si>
  <si>
    <t>Max</t>
  </si>
  <si>
    <t>Min</t>
  </si>
  <si>
    <t xml:space="preserve">EMAIL COMMENT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</si>
</sst>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"/>
    <numFmt numFmtId="166" formatCode="0.0%"/>
  </numFmts>
  <fonts count="29">
    <font>
      <sz val="11.000000"/>
      <color theme="1"/>
      <name val="Calibri"/>
      <scheme val="minor"/>
    </font>
    <font>
      <sz val="11.000000"/>
      <color theme="1"/>
      <name val="Calibri"/>
      <scheme val="minor"/>
    </font>
    <font>
      <b/>
      <sz val="18.000000"/>
      <color theme="3"/>
      <name val="Cambria"/>
      <scheme val="maj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sz val="11.000000"/>
      <color rgb="FF006100"/>
      <name val="Calibri"/>
      <scheme val="minor"/>
    </font>
    <font>
      <sz val="11.000000"/>
      <color rgb="FF9C0006"/>
      <name val="Calibri"/>
      <scheme val="minor"/>
    </font>
    <font>
      <sz val="11.000000"/>
      <color rgb="FF9C650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sz val="11.000000"/>
      <color rgb="FFFA7D00"/>
      <name val="Calibri"/>
      <scheme val="minor"/>
    </font>
    <font>
      <b/>
      <sz val="11.000000"/>
      <color theme="0"/>
      <name val="Calibri"/>
      <scheme val="minor"/>
    </font>
    <font>
      <sz val="11.000000"/>
      <color indexed="2"/>
      <name val="Calibri"/>
      <scheme val="minor"/>
    </font>
    <font>
      <i/>
      <sz val="11.000000"/>
      <color rgb="FF7F7F7F"/>
      <name val="Calibri"/>
      <scheme val="minor"/>
    </font>
    <font>
      <b/>
      <sz val="11.000000"/>
      <color theme="1"/>
      <name val="Calibri"/>
      <scheme val="minor"/>
    </font>
    <font>
      <sz val="11.000000"/>
      <color theme="0"/>
      <name val="Calibri"/>
      <scheme val="minor"/>
    </font>
    <font>
      <i/>
      <sz val="11.000000"/>
      <color theme="1"/>
      <name val="Calibri"/>
      <scheme val="minor"/>
    </font>
    <font>
      <b/>
      <sz val="14.000000"/>
      <color theme="1"/>
      <name val="Calibri"/>
      <scheme val="minor"/>
    </font>
    <font>
      <b/>
      <i/>
      <sz val="10.000000"/>
      <color indexed="64"/>
      <name val="Arial"/>
    </font>
    <font>
      <sz val="11.000000"/>
      <color indexed="64"/>
      <name val="Calibri"/>
    </font>
    <font>
      <i/>
      <sz val="10.000000"/>
      <color indexed="64"/>
      <name val="Arial"/>
    </font>
    <font>
      <b/>
      <sz val="11.000000"/>
      <color indexed="64"/>
      <name val="Calibri"/>
    </font>
    <font>
      <sz val="11.000000"/>
      <name val="Calibri"/>
      <scheme val="minor"/>
    </font>
    <font>
      <b/>
      <sz val="11.000000"/>
      <name val="Calibri"/>
      <scheme val="minor"/>
    </font>
    <font>
      <sz val="16.000000"/>
      <color theme="1"/>
      <name val="Calibri"/>
      <scheme val="minor"/>
    </font>
    <font>
      <sz val="9.000000"/>
      <color/>
      <name val="Tahoma"/>
    </font>
    <font>
      <b/>
      <sz val="9.000000"/>
      <color/>
      <name val="Tahoma"/>
    </font>
  </fonts>
  <fills count="40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indexed="47"/>
        <bgColor indexed="47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indexed="26"/>
        <bgColor indexed="26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/>
      </patternFill>
    </fill>
    <fill>
      <patternFill patternType="solid">
        <fgColor rgb="FF4F81BD"/>
        <bgColor/>
      </patternFill>
    </fill>
    <fill>
      <patternFill patternType="solid">
        <fgColor rgb="FFD0D8E8"/>
        <bgColor/>
      </patternFill>
    </fill>
    <fill>
      <patternFill patternType="solid">
        <fgColor indexed="5"/>
        <bgColor/>
      </patternFill>
    </fill>
    <fill>
      <patternFill patternType="solid">
        <fgColor rgb="FFE9EDF4"/>
        <bgColor/>
      </patternFill>
    </fill>
    <fill>
      <patternFill patternType="solid">
        <fgColor theme="0" tint="-0.34998626667073579"/>
        <bgColor/>
      </patternFill>
    </fill>
    <fill>
      <patternFill patternType="solid">
        <fgColor rgb="FF00B0F0"/>
        <bgColor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/>
      </bottom>
      <diagonal/>
    </border>
    <border>
      <left/>
      <right/>
      <top style="medium">
        <color/>
      </top>
      <bottom style="thin">
        <color/>
      </bottom>
      <diagonal/>
    </border>
    <border>
      <left style="medium">
        <color indexed="65"/>
      </left>
      <right style="medium">
        <color indexed="65"/>
      </right>
      <top style="medium">
        <color indexed="65"/>
      </top>
      <bottom style="thick">
        <color indexed="65"/>
      </bottom>
      <diagonal/>
    </border>
    <border>
      <left style="medium">
        <color indexed="65"/>
      </left>
      <right style="medium">
        <color indexed="65"/>
      </right>
      <top style="thick">
        <color indexed="65"/>
      </top>
      <bottom style="medium">
        <color indexed="65"/>
      </bottom>
      <diagonal/>
    </border>
    <border>
      <left style="medium">
        <color indexed="65"/>
      </left>
      <right style="medium">
        <color indexed="65"/>
      </right>
      <top style="medium">
        <color indexed="65"/>
      </top>
      <bottom style="medium">
        <color indexed="65"/>
      </bottom>
      <diagonal/>
    </border>
    <border>
      <left/>
      <right/>
      <top/>
      <bottom style="thick">
        <color indexed="65"/>
      </bottom>
      <diagonal/>
    </border>
    <border>
      <left style="double">
        <color auto="1"/>
      </left>
      <right/>
      <top/>
      <bottom/>
      <diagonal/>
    </border>
    <border>
      <left/>
      <right/>
      <top/>
      <bottom style="thin">
        <color/>
      </bottom>
      <diagonal/>
    </border>
    <border>
      <left/>
      <right/>
      <top style="thin">
        <color/>
      </top>
      <bottom/>
      <diagonal/>
    </border>
  </borders>
  <cellStyleXfs count="43">
    <xf fontId="0" fillId="0" borderId="0" numFmtId="0"/>
    <xf fontId="2" fillId="0" borderId="0" numFmtId="0" applyNumberFormat="0" applyFill="0" applyBorder="0" applyAlignment="0" applyProtection="0"/>
    <xf fontId="3" fillId="0" borderId="1" numFmtId="0" applyNumberFormat="0" applyFill="0" applyAlignment="0" applyProtection="0"/>
    <xf fontId="4" fillId="0" borderId="2" numFmtId="0" applyNumberFormat="0" applyFill="0" applyAlignment="0" applyProtection="0"/>
    <xf fontId="5" fillId="0" borderId="3" numFmtId="0" applyNumberFormat="0" applyFill="0" applyAlignment="0" applyProtection="0"/>
    <xf fontId="5" fillId="0" borderId="0" numFmtId="0" applyNumberFormat="0" applyFill="0" applyBorder="0" applyAlignment="0" applyProtection="0"/>
    <xf fontId="6" fillId="2" borderId="0" numFmtId="0" applyNumberFormat="0" applyBorder="0" applyAlignment="0" applyProtection="0"/>
    <xf fontId="7" fillId="3" borderId="0" numFmtId="0" applyNumberFormat="0" applyBorder="0" applyAlignment="0" applyProtection="0"/>
    <xf fontId="8" fillId="4" borderId="0" numFmtId="0" applyNumberFormat="0" applyBorder="0" applyAlignment="0" applyProtection="0"/>
    <xf fontId="9" fillId="5" borderId="4" numFmtId="0" applyNumberFormat="0" applyAlignment="0" applyProtection="0"/>
    <xf fontId="10" fillId="6" borderId="5" numFmtId="0" applyNumberFormat="0" applyAlignment="0" applyProtection="0"/>
    <xf fontId="11" fillId="6" borderId="4" numFmtId="0" applyNumberFormat="0" applyAlignment="0" applyProtection="0"/>
    <xf fontId="12" fillId="0" borderId="6" numFmtId="0" applyNumberFormat="0" applyFill="0" applyAlignment="0" applyProtection="0"/>
    <xf fontId="13" fillId="7" borderId="7" numFmtId="0" applyNumberFormat="0" applyAlignment="0" applyProtection="0"/>
    <xf fontId="14" fillId="0" borderId="0" numFmtId="0" applyNumberFormat="0" applyFill="0" applyBorder="0" applyAlignment="0" applyProtection="0"/>
    <xf fontId="1" fillId="8" borderId="8" numFmtId="0" applyNumberFormat="0" applyFont="0" applyAlignment="0" applyProtection="0"/>
    <xf fontId="15" fillId="0" borderId="0" numFmtId="0" applyNumberFormat="0" applyFill="0" applyBorder="0" applyAlignment="0" applyProtection="0"/>
    <xf fontId="16" fillId="0" borderId="9" numFmtId="0" applyNumberFormat="0" applyFill="0" applyAlignment="0" applyProtection="0"/>
    <xf fontId="17" fillId="9" borderId="0" numFmtId="0" applyNumberFormat="0" applyBorder="0" applyAlignment="0" applyProtection="0"/>
    <xf fontId="1" fillId="10" borderId="0" numFmtId="0" applyNumberFormat="0" applyBorder="0" applyAlignment="0" applyProtection="0"/>
    <xf fontId="1" fillId="11" borderId="0" numFmtId="0" applyNumberFormat="0" applyBorder="0" applyAlignment="0" applyProtection="0"/>
    <xf fontId="17" fillId="12" borderId="0" numFmtId="0" applyNumberFormat="0" applyBorder="0" applyAlignment="0" applyProtection="0"/>
    <xf fontId="17" fillId="13" borderId="0" numFmtId="0" applyNumberFormat="0" applyBorder="0" applyAlignment="0" applyProtection="0"/>
    <xf fontId="1" fillId="14" borderId="0" numFmtId="0" applyNumberFormat="0" applyBorder="0" applyAlignment="0" applyProtection="0"/>
    <xf fontId="1" fillId="15" borderId="0" numFmtId="0" applyNumberFormat="0" applyBorder="0" applyAlignment="0" applyProtection="0"/>
    <xf fontId="17" fillId="16" borderId="0" numFmtId="0" applyNumberFormat="0" applyBorder="0" applyAlignment="0" applyProtection="0"/>
    <xf fontId="17" fillId="17" borderId="0" numFmtId="0" applyNumberFormat="0" applyBorder="0" applyAlignment="0" applyProtection="0"/>
    <xf fontId="1" fillId="18" borderId="0" numFmtId="0" applyNumberFormat="0" applyBorder="0" applyAlignment="0" applyProtection="0"/>
    <xf fontId="1" fillId="19" borderId="0" numFmtId="0" applyNumberFormat="0" applyBorder="0" applyAlignment="0" applyProtection="0"/>
    <xf fontId="17" fillId="20" borderId="0" numFmtId="0" applyNumberFormat="0" applyBorder="0" applyAlignment="0" applyProtection="0"/>
    <xf fontId="17" fillId="21" borderId="0" numFmtId="0" applyNumberFormat="0" applyBorder="0" applyAlignment="0" applyProtection="0"/>
    <xf fontId="1" fillId="22" borderId="0" numFmtId="0" applyNumberFormat="0" applyBorder="0" applyAlignment="0" applyProtection="0"/>
    <xf fontId="1" fillId="23" borderId="0" numFmtId="0" applyNumberFormat="0" applyBorder="0" applyAlignment="0" applyProtection="0"/>
    <xf fontId="17" fillId="24" borderId="0" numFmtId="0" applyNumberFormat="0" applyBorder="0" applyAlignment="0" applyProtection="0"/>
    <xf fontId="17" fillId="25" borderId="0" numFmtId="0" applyNumberFormat="0" applyBorder="0" applyAlignment="0" applyProtection="0"/>
    <xf fontId="1" fillId="26" borderId="0" numFmtId="0" applyNumberFormat="0" applyBorder="0" applyAlignment="0" applyProtection="0"/>
    <xf fontId="1" fillId="27" borderId="0" numFmtId="0" applyNumberFormat="0" applyBorder="0" applyAlignment="0" applyProtection="0"/>
    <xf fontId="17" fillId="28" borderId="0" numFmtId="0" applyNumberFormat="0" applyBorder="0" applyAlignment="0" applyProtection="0"/>
    <xf fontId="17" fillId="29" borderId="0" numFmtId="0" applyNumberFormat="0" applyBorder="0" applyAlignment="0" applyProtection="0"/>
    <xf fontId="1" fillId="30" borderId="0" numFmtId="0" applyNumberFormat="0" applyBorder="0" applyAlignment="0" applyProtection="0"/>
    <xf fontId="1" fillId="31" borderId="0" numFmtId="0" applyNumberFormat="0" applyBorder="0" applyAlignment="0" applyProtection="0"/>
    <xf fontId="17" fillId="32" borderId="0" numFmtId="0" applyNumberFormat="0" applyBorder="0" applyAlignment="0" applyProtection="0"/>
    <xf fontId="1" fillId="0" borderId="0" numFmtId="9" applyFont="0" applyFill="0" applyBorder="0" applyAlignment="0" applyProtection="0"/>
  </cellStyleXfs>
  <cellXfs count="88">
    <xf fontId="0" fillId="0" borderId="0" numFmtId="0" xfId="0"/>
    <xf fontId="16" fillId="0" borderId="0" numFmtId="0" xfId="0" applyFont="1"/>
    <xf fontId="0" fillId="0" borderId="0" numFmtId="0" xfId="0" applyAlignment="1">
      <alignment wrapText="1"/>
    </xf>
    <xf fontId="16" fillId="0" borderId="0" numFmtId="0" xfId="0" applyFont="1" applyAlignment="1">
      <alignment horizontal="center" wrapText="1"/>
    </xf>
    <xf fontId="0" fillId="0" borderId="0" numFmtId="0" xfId="0" applyAlignment="1">
      <alignment horizontal="center" wrapText="1"/>
    </xf>
    <xf fontId="16" fillId="0" borderId="0" numFmtId="0" xfId="0" applyFont="1" applyAlignment="1">
      <alignment horizontal="right"/>
    </xf>
    <xf fontId="0" fillId="0" borderId="0" numFmtId="2" xfId="0" applyNumberFormat="1"/>
    <xf fontId="0" fillId="0" borderId="0" numFmtId="2" xfId="0" applyNumberFormat="1" applyAlignment="1">
      <alignment horizontal="center" wrapText="1"/>
    </xf>
    <xf fontId="16" fillId="0" borderId="0" numFmtId="2" xfId="0" applyNumberFormat="1" applyFont="1"/>
    <xf fontId="0" fillId="0" borderId="0" numFmtId="0" xfId="0" applyFill="1" applyBorder="1" applyAlignment="1"/>
    <xf fontId="0" fillId="0" borderId="10" numFmtId="0" xfId="0" applyFill="1" applyBorder="1" applyAlignment="1"/>
    <xf fontId="18" fillId="0" borderId="11" numFmtId="0" xfId="0" applyFont="1" applyFill="1" applyBorder="1" applyAlignment="1">
      <alignment horizontal="center"/>
    </xf>
    <xf fontId="0" fillId="0" borderId="0" numFmtId="164" xfId="0" applyNumberFormat="1" applyFill="1" applyBorder="1" applyAlignment="1"/>
    <xf fontId="0" fillId="0" borderId="10" numFmtId="164" xfId="0" applyNumberFormat="1" applyFill="1" applyBorder="1" applyAlignment="1"/>
    <xf fontId="0" fillId="0" borderId="0" numFmtId="0" xfId="0" applyNumberFormat="1" applyFill="1" applyBorder="1" applyAlignment="1"/>
    <xf fontId="0" fillId="0" borderId="0" numFmtId="10" xfId="0" applyNumberFormat="1" applyFill="1" applyBorder="1" applyAlignment="1"/>
    <xf fontId="0" fillId="0" borderId="10" numFmtId="10" xfId="0" applyNumberFormat="1" applyFill="1" applyBorder="1" applyAlignment="1"/>
    <xf fontId="19" fillId="0" borderId="0" numFmtId="0" xfId="0" applyFont="1"/>
    <xf fontId="0" fillId="33" borderId="0" numFmtId="0" xfId="0" applyFill="1"/>
    <xf fontId="20" fillId="34" borderId="12" numFmtId="0" xfId="0" applyFont="1" applyFill="1" applyBorder="1" applyAlignment="1">
      <alignment horizontal="center" wrapText="1"/>
    </xf>
    <xf fontId="21" fillId="35" borderId="13" numFmtId="0" xfId="0" applyFont="1" applyFill="1" applyBorder="1" applyAlignment="1">
      <alignment horizontal="center" vertical="center" wrapText="1"/>
    </xf>
    <xf fontId="22" fillId="35" borderId="13" numFmtId="0" xfId="0" applyFont="1" applyFill="1" applyBorder="1" applyAlignment="1">
      <alignment horizontal="center" wrapText="1"/>
    </xf>
    <xf fontId="21" fillId="36" borderId="14" numFmtId="0" xfId="0" applyFont="1" applyFill="1" applyBorder="1" applyAlignment="1">
      <alignment horizontal="center" wrapText="1"/>
    </xf>
    <xf fontId="21" fillId="35" borderId="14" numFmtId="0" xfId="0" applyFont="1" applyFill="1" applyBorder="1" applyAlignment="1">
      <alignment horizontal="center" wrapText="1"/>
    </xf>
    <xf fontId="21" fillId="37" borderId="14" numFmtId="0" xfId="0" applyFont="1" applyFill="1" applyBorder="1" applyAlignment="1">
      <alignment horizontal="center" wrapText="1"/>
    </xf>
    <xf fontId="21" fillId="36" borderId="14" numFmtId="164" xfId="0" applyNumberFormat="1" applyFont="1" applyFill="1" applyBorder="1" applyAlignment="1">
      <alignment horizontal="center" wrapText="1"/>
    </xf>
    <xf fontId="21" fillId="35" borderId="14" numFmtId="164" xfId="0" applyNumberFormat="1" applyFont="1" applyFill="1" applyBorder="1" applyAlignment="1">
      <alignment horizontal="center" wrapText="1"/>
    </xf>
    <xf fontId="21" fillId="37" borderId="14" numFmtId="164" xfId="0" applyNumberFormat="1" applyFont="1" applyFill="1" applyBorder="1" applyAlignment="1">
      <alignment horizontal="center" wrapText="1"/>
    </xf>
    <xf fontId="23" fillId="34" borderId="12" numFmtId="0" xfId="0" applyFont="1" applyFill="1" applyBorder="1" applyAlignment="1">
      <alignment horizontal="center" wrapText="1"/>
    </xf>
    <xf fontId="21" fillId="35" borderId="13" numFmtId="0" xfId="0" applyFont="1" applyFill="1" applyBorder="1" applyAlignment="1">
      <alignment horizontal="center" wrapText="1"/>
    </xf>
    <xf fontId="21" fillId="35" borderId="13" numFmtId="10" xfId="0" applyNumberFormat="1" applyFont="1" applyFill="1" applyBorder="1" applyAlignment="1">
      <alignment horizontal="center" wrapText="1"/>
    </xf>
    <xf fontId="21" fillId="37" borderId="14" numFmtId="10" xfId="0" applyNumberFormat="1" applyFont="1" applyFill="1" applyBorder="1" applyAlignment="1">
      <alignment horizontal="center" wrapText="1"/>
    </xf>
    <xf fontId="21" fillId="35" borderId="14" numFmtId="10" xfId="0" applyNumberFormat="1" applyFont="1" applyFill="1" applyBorder="1" applyAlignment="1">
      <alignment horizontal="center" wrapText="1"/>
    </xf>
    <xf fontId="16" fillId="0" borderId="0" numFmtId="0" xfId="0" applyFont="1" applyAlignment="1">
      <alignment horizontal="left" wrapText="1"/>
    </xf>
    <xf fontId="0" fillId="0" borderId="0" numFmtId="164" xfId="0" applyNumberFormat="1"/>
    <xf fontId="0" fillId="0" borderId="0" numFmtId="165" xfId="0" applyNumberFormat="1" applyFill="1" applyBorder="1" applyAlignment="1"/>
    <xf fontId="0" fillId="0" borderId="0" numFmtId="1" xfId="0" applyNumberFormat="1" applyFill="1" applyBorder="1" applyAlignment="1"/>
    <xf fontId="0" fillId="33" borderId="0" numFmtId="0" xfId="0" applyFill="1" applyBorder="1" applyAlignment="1">
      <alignment horizontal="center"/>
    </xf>
    <xf fontId="18" fillId="33" borderId="0" numFmtId="0" xfId="0" applyFont="1" applyFill="1" applyBorder="1" applyAlignment="1">
      <alignment horizontal="center"/>
    </xf>
    <xf fontId="0" fillId="33" borderId="0" numFmtId="10" xfId="0" applyNumberFormat="1" applyFill="1" applyBorder="1" applyAlignment="1"/>
    <xf fontId="0" fillId="33" borderId="0" numFmtId="0" xfId="0" applyNumberFormat="1" applyFill="1" applyBorder="1" applyAlignment="1"/>
    <xf fontId="24" fillId="0" borderId="0" numFmtId="0" xfId="0" applyFont="1"/>
    <xf fontId="24" fillId="0" borderId="0" numFmtId="0" xfId="0" applyFont="1" applyAlignment="1">
      <alignment horizontal="center" wrapText="1"/>
    </xf>
    <xf fontId="24" fillId="0" borderId="0" numFmtId="2" xfId="0" applyNumberFormat="1" applyFont="1" applyAlignment="1">
      <alignment horizontal="center" wrapText="1"/>
    </xf>
    <xf fontId="24" fillId="0" borderId="0" numFmtId="164" xfId="0" applyNumberFormat="1" applyFont="1"/>
    <xf fontId="24" fillId="0" borderId="0" numFmtId="2" xfId="0" applyNumberFormat="1" applyFont="1"/>
    <xf fontId="24" fillId="0" borderId="0" numFmtId="0" xfId="0" applyFont="1" applyFill="1"/>
    <xf fontId="25" fillId="0" borderId="0" numFmtId="0" xfId="0" applyFont="1" applyFill="1" applyAlignment="1">
      <alignment horizontal="center"/>
    </xf>
    <xf fontId="24" fillId="0" borderId="0" numFmtId="0" xfId="0" applyFont="1" applyFill="1" applyAlignment="1">
      <alignment horizontal="right"/>
    </xf>
    <xf fontId="24" fillId="0" borderId="0" numFmtId="0" xfId="0" applyFont="1" applyFill="1" applyAlignment="1">
      <alignment horizontal="center" wrapText="1"/>
    </xf>
    <xf fontId="24" fillId="0" borderId="0" numFmtId="2" xfId="0" applyNumberFormat="1" applyFont="1" applyFill="1" applyAlignment="1">
      <alignment horizontal="center" wrapText="1"/>
    </xf>
    <xf fontId="24" fillId="0" borderId="0" numFmtId="164" xfId="0" applyNumberFormat="1" applyFont="1" applyFill="1"/>
    <xf fontId="24" fillId="0" borderId="0" numFmtId="2" xfId="0" applyNumberFormat="1" applyFont="1" applyFill="1"/>
    <xf fontId="0" fillId="38" borderId="0" numFmtId="0" xfId="0" applyFill="1"/>
    <xf fontId="24" fillId="38" borderId="0" numFmtId="0" xfId="0" applyFont="1" applyFill="1"/>
    <xf fontId="0" fillId="0" borderId="16" numFmtId="0" xfId="0" applyBorder="1"/>
    <xf fontId="0" fillId="0" borderId="16" numFmtId="2" xfId="0" applyNumberFormat="1" applyBorder="1" applyAlignment="1">
      <alignment horizontal="center" wrapText="1"/>
    </xf>
    <xf fontId="0" fillId="0" borderId="16" numFmtId="0" xfId="0" applyBorder="1" applyAlignment="1">
      <alignment horizontal="center" wrapText="1"/>
    </xf>
    <xf fontId="0" fillId="0" borderId="16" numFmtId="164" xfId="0" applyNumberFormat="1" applyBorder="1"/>
    <xf fontId="26" fillId="0" borderId="0" numFmtId="0" xfId="0" applyFont="1"/>
    <xf fontId="0" fillId="0" borderId="17" numFmtId="0" xfId="0" applyFill="1" applyBorder="1" applyAlignment="1"/>
    <xf fontId="0" fillId="0" borderId="0" numFmtId="0" xfId="0" applyAlignment="1">
      <alignment horizontal="center" vertical="center" wrapText="1"/>
    </xf>
    <xf fontId="0" fillId="0" borderId="0" numFmtId="0" xfId="0" applyBorder="1"/>
    <xf fontId="0" fillId="0" borderId="0" numFmtId="164" xfId="0" applyNumberFormat="1" applyFill="1" applyBorder="1" applyAlignment="1">
      <alignment horizontal="center"/>
    </xf>
    <xf fontId="0" fillId="0" borderId="0" numFmtId="166" xfId="42" applyNumberFormat="1" applyFont="1" applyFill="1" applyBorder="1" applyAlignment="1">
      <alignment horizontal="center"/>
    </xf>
    <xf fontId="0" fillId="0" borderId="17" numFmtId="164" xfId="0" applyNumberFormat="1" applyFill="1" applyBorder="1" applyAlignment="1">
      <alignment horizontal="center"/>
    </xf>
    <xf fontId="0" fillId="0" borderId="17" numFmtId="166" xfId="42" applyNumberFormat="1" applyFont="1" applyFill="1" applyBorder="1" applyAlignment="1">
      <alignment horizontal="center"/>
    </xf>
    <xf fontId="18" fillId="0" borderId="0" numFmtId="0" xfId="0" applyFont="1" applyFill="1" applyBorder="1" applyAlignment="1">
      <alignment horizontal="center" vertical="center" wrapText="1"/>
    </xf>
    <xf fontId="0" fillId="0" borderId="18" numFmtId="0" xfId="0" applyBorder="1"/>
    <xf fontId="18" fillId="0" borderId="17" numFmtId="0" xfId="0" applyFont="1" applyFill="1" applyBorder="1" applyAlignment="1">
      <alignment horizontal="center" vertical="center" wrapText="1"/>
    </xf>
    <xf fontId="0" fillId="0" borderId="0" numFmtId="0" xfId="0" applyBorder="1" applyAlignment="1">
      <alignment horizontal="center"/>
    </xf>
    <xf fontId="25" fillId="36" borderId="0" numFmtId="0" xfId="0" applyFont="1" applyFill="1" applyAlignment="1">
      <alignment horizontal="left" wrapText="1"/>
    </xf>
    <xf fontId="24" fillId="36" borderId="0" numFmtId="0" xfId="0" applyFont="1" applyFill="1"/>
    <xf fontId="24" fillId="36" borderId="0" numFmtId="164" xfId="0" applyNumberFormat="1" applyFont="1" applyFill="1"/>
    <xf fontId="24" fillId="36" borderId="0" numFmtId="2" xfId="0" applyNumberFormat="1" applyFont="1" applyFill="1"/>
    <xf fontId="25" fillId="36" borderId="0" numFmtId="0" xfId="0" applyFont="1" applyFill="1"/>
    <xf fontId="0" fillId="0" borderId="0" numFmtId="166" xfId="42" applyNumberFormat="1" applyFont="1" applyFill="1" applyBorder="1" applyAlignment="1"/>
    <xf fontId="0" fillId="0" borderId="0" numFmtId="9" xfId="42" applyFont="1" applyFill="1" applyBorder="1" applyAlignment="1"/>
    <xf fontId="25" fillId="0" borderId="0" numFmtId="0" xfId="0" applyFont="1" applyFill="1" applyAlignment="1">
      <alignment horizontal="center"/>
    </xf>
    <xf fontId="16" fillId="0" borderId="0" numFmtId="0" xfId="0" applyFont="1" applyAlignment="1">
      <alignment horizontal="center"/>
    </xf>
    <xf fontId="26" fillId="0" borderId="0" numFmtId="0" xfId="0" applyFont="1" applyAlignment="1">
      <alignment horizontal="center" textRotation="90" vertical="center"/>
    </xf>
    <xf fontId="26" fillId="0" borderId="0" numFmtId="0" xfId="0" applyFont="1" applyAlignment="1">
      <alignment horizontal="center"/>
    </xf>
    <xf fontId="0" fillId="0" borderId="18" numFmtId="0" xfId="0" applyBorder="1" applyAlignment="1">
      <alignment horizontal="center"/>
    </xf>
    <xf fontId="0" fillId="0" borderId="10" numFmtId="0" xfId="0" applyBorder="1" applyAlignment="1">
      <alignment horizontal="center"/>
    </xf>
    <xf fontId="0" fillId="0" borderId="0" numFmtId="0" xfId="0" applyAlignment="1">
      <alignment horizontal="center"/>
    </xf>
    <xf fontId="20" fillId="34" borderId="0" numFmtId="0" xfId="0" applyFont="1" applyFill="1" applyBorder="1" applyAlignment="1">
      <alignment horizontal="center" wrapText="1"/>
    </xf>
    <xf fontId="20" fillId="34" borderId="15" numFmtId="0" xfId="0" applyFont="1" applyFill="1" applyBorder="1" applyAlignment="1">
      <alignment horizontal="center" wrapText="1"/>
    </xf>
    <xf fontId="24" fillId="39" borderId="0" numFmtId="0" xfId="0" applyFont="1" applyFill="1"/>
  </cellXfs>
  <cellStyles count="43">
    <cellStyle name="20% - Accent1" xfId="19" builtinId="30"/>
    <cellStyle name="20% - Accent2" xfId="23" builtinId="34"/>
    <cellStyle name="20% - Accent3" xfId="27" builtinId="38"/>
    <cellStyle name="20% - Accent4" xfId="31" builtinId="42"/>
    <cellStyle name="20% - Accent5" xfId="35" builtinId="46"/>
    <cellStyle name="20% - Accent6" xfId="39" builtinId="50"/>
    <cellStyle name="40% - Accent1" xfId="20" builtinId="31"/>
    <cellStyle name="40% - Accent2" xfId="24" builtinId="35"/>
    <cellStyle name="40% - Accent3" xfId="28" builtinId="39"/>
    <cellStyle name="40% - Accent4" xfId="32" builtinId="43"/>
    <cellStyle name="40% - Accent5" xfId="36" builtinId="47"/>
    <cellStyle name="40% - Accent6" xfId="40" builtinId="51"/>
    <cellStyle name="60% - Accent1" xfId="21" builtinId="32"/>
    <cellStyle name="60% - Accent2" xfId="25" builtinId="36"/>
    <cellStyle name="60% - Accent3" xfId="29" builtinId="40"/>
    <cellStyle name="60% - Accent4" xfId="33" builtinId="44"/>
    <cellStyle name="60% - Accent5" xfId="37" builtinId="48"/>
    <cellStyle name="60% - Accent6" xfId="41" builtinId="52"/>
    <cellStyle name="Accent1" xfId="18" builtinId="29"/>
    <cellStyle name="Accent2" xfId="22" builtinId="33"/>
    <cellStyle name="Accent3" xfId="26" builtinId="37"/>
    <cellStyle name="Accent4" xfId="30" builtinId="41"/>
    <cellStyle name="Accent5" xfId="34" builtinId="45"/>
    <cellStyle name="Accent6" xfId="38" builtinId="49"/>
    <cellStyle name="Bad" xfId="7" builtinId="27"/>
    <cellStyle name="Calculation" xfId="11" builtinId="22"/>
    <cellStyle name="Check Cell" xfId="13" builtinId="23"/>
    <cellStyle name="Explanatory Text" xfId="16" builtinId="53"/>
    <cellStyle name="Good" xfId="6" builtinId="26"/>
    <cellStyle name="Heading 1" xfId="2" builtinId="16"/>
    <cellStyle name="Heading 2" xfId="3" builtinId="17"/>
    <cellStyle name="Heading 3" xfId="4" builtinId="18"/>
    <cellStyle name="Heading 4" xfId="5" builtinId="19"/>
    <cellStyle name="Input" xfId="9" builtinId="20"/>
    <cellStyle name="Linked Cell" xfId="12" builtinId="24"/>
    <cellStyle name="Neutral" xfId="8" builtinId="28"/>
    <cellStyle name="Normal" xfId="0" builtinId="0"/>
    <cellStyle name="Note" xfId="15" builtinId="10"/>
    <cellStyle name="Output" xfId="10" builtinId="21"/>
    <cellStyle name="Percent" xfId="42" builtinId="5"/>
    <cellStyle name="Title" xfId="1" builtinId="15"/>
    <cellStyle name="Total" xfId="17" builtinId="25"/>
    <cellStyle name="Warning Text" xfId="14" builtin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3" Type="http://schemas.openxmlformats.org/officeDocument/2006/relationships/theme" Target="theme/theme1.xml"/><Relationship  Id="rId11" Type="http://schemas.openxmlformats.org/officeDocument/2006/relationships/worksheet" Target="worksheets/sheet11.xml"/><Relationship  Id="rId10" Type="http://schemas.openxmlformats.org/officeDocument/2006/relationships/worksheet" Target="worksheets/sheet10.xml"/><Relationship  Id="rId15" Type="http://schemas.openxmlformats.org/officeDocument/2006/relationships/styles" Target="styles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14" Type="http://schemas.openxmlformats.org/officeDocument/2006/relationships/sharedStrings" Target="sharedStrings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2" Type="http://schemas.openxmlformats.org/officeDocument/2006/relationships/worksheet" Target="worksheets/sheet12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charts/_rels/chart1.xml.rels><?xml version="1.0" encoding="UTF-8" standalone="yes"?><Relationships xmlns="http://schemas.openxmlformats.org/package/2006/relationships"></Relationships>
</file>

<file path=xl/charts/_rels/chart2.xml.rels><?xml version="1.0" encoding="UTF-8" standalone="yes"?><Relationships xmlns="http://schemas.openxmlformats.org/package/2006/relationships"><Relationship Id="rId1" Type="http://schemas.openxmlformats.org/officeDocument/2006/relationships/chartUserShapes" Target="../drawings/drawing2.xml" /><Relationship Id="rId2" Type="http://schemas.openxmlformats.org/officeDocument/2006/relationships/themeOverride" Target="../theme/themeOverride1.xml" /></Relationships>
</file>

<file path=xl/charts/_rels/chart3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4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5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6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7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8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9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10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11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12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13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14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15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16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17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18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19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20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21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22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23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24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25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26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27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28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29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30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31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32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33.xml.rels><?xml version="1.0" encoding="UTF-8" standalone="yes"?><Relationships xmlns="http://schemas.openxmlformats.org/package/2006/relationships"><Relationship Id="rId1" Type="http://schemas.openxmlformats.org/officeDocument/2006/relationships/themeOverride" Target="../theme/themeOverride1.xml" /></Relationships>
</file>

<file path=xl/charts/_rels/chart34.xml.rels><?xml version="1.0" encoding="UTF-8" standalone="yes"?><Relationships xmlns="http://schemas.openxmlformats.org/package/2006/relationships"></Relationships>
</file>

<file path=xl/charts/_rels/chart35.xml.rels><?xml version="1.0" encoding="UTF-8" standalone="yes"?><Relationships xmlns="http://schemas.openxmlformats.org/package/2006/relationships"></Relationships>
</file>

<file path=xl/charts/_rels/chart36.xml.rels><?xml version="1.0" encoding="UTF-8" standalone="yes"?><Relationships xmlns="http://schemas.openxmlformats.org/package/2006/relationships"></Relationships>
</file>

<file path=xl/charts/_rels/chart37.xml.rels><?xml version="1.0" encoding="UTF-8" standalone="yes"?><Relationships xmlns="http://schemas.openxmlformats.org/package/2006/relationships"></Relationships>
</file>

<file path=xl/charts/_rels/chart38.xml.rels><?xml version="1.0" encoding="UTF-8" standalone="yes"?><Relationships xmlns="http://schemas.openxmlformats.org/package/2006/relationships"></Relationships>
</file>

<file path=xl/charts/_rels/chart39.xml.rels><?xml version="1.0" encoding="UTF-8" standalone="yes"?><Relationships xmlns="http://schemas.openxmlformats.org/package/2006/relationships"></Relationships>
</file>

<file path=xl/charts/_rels/chart40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All_XS_Trimmed!$AE$8:$AE$206</c:f>
              <c:numCache>
                <c:formatCode>0.00</c:formatCode>
                <c:ptCount val="199"/>
                <c:pt idx="0">
                  <c:v>5.4691945054051905</c:v>
                </c:pt>
                <c:pt idx="1">
                  <c:v>24.573413358160963</c:v>
                </c:pt>
                <c:pt idx="2">
                  <c:v>0.7416890189384685</c:v>
                </c:pt>
                <c:pt idx="3">
                  <c:v>16.279611452612563</c:v>
                </c:pt>
                <c:pt idx="4">
                  <c:v>27.45124933660367</c:v>
                </c:pt>
                <c:pt idx="5">
                  <c:v>12.197025115825394</c:v>
                </c:pt>
                <c:pt idx="6">
                  <c:v>1.274255341098778</c:v>
                </c:pt>
                <c:pt idx="7">
                  <c:v>5.0486630840507791</c:v>
                </c:pt>
                <c:pt idx="8">
                  <c:v>20.558235294117651</c:v>
                </c:pt>
                <c:pt idx="9">
                  <c:v>21.324165624434638</c:v>
                </c:pt>
                <c:pt idx="10">
                  <c:v>7.2137272727272679</c:v>
                </c:pt>
                <c:pt idx="11">
                  <c:v>27.069617166544745</c:v>
                </c:pt>
                <c:pt idx="12">
                  <c:v>27.786716114316047</c:v>
                </c:pt>
                <c:pt idx="13">
                  <c:v>8.118954726489477</c:v>
                </c:pt>
                <c:pt idx="14">
                  <c:v>8.2705185185185073</c:v>
                </c:pt>
                <c:pt idx="15">
                  <c:v>4.1639944149940096</c:v>
                </c:pt>
                <c:pt idx="16">
                  <c:v>2.9533714285714323</c:v>
                </c:pt>
                <c:pt idx="17">
                  <c:v>8.64956521739132</c:v>
                </c:pt>
                <c:pt idx="18">
                  <c:v>12.847315802307513</c:v>
                </c:pt>
                <c:pt idx="19">
                  <c:v>7.2485708092877106</c:v>
                </c:pt>
                <c:pt idx="20">
                  <c:v>16.268000000000001</c:v>
                </c:pt>
                <c:pt idx="21">
                  <c:v>13.475442745104713</c:v>
                </c:pt>
                <c:pt idx="22">
                  <c:v>3.5551428571428683</c:v>
                </c:pt>
                <c:pt idx="23">
                  <c:v>44.86806353850978</c:v>
                </c:pt>
                <c:pt idx="24">
                  <c:v>71.937272727272727</c:v>
                </c:pt>
                <c:pt idx="25">
                  <c:v>94.178774731142127</c:v>
                </c:pt>
                <c:pt idx="26">
                  <c:v>144.02061538461535</c:v>
                </c:pt>
                <c:pt idx="27">
                  <c:v>157.19092904169713</c:v>
                </c:pt>
                <c:pt idx="28">
                  <c:v>33.582143469975698</c:v>
                </c:pt>
                <c:pt idx="29">
                  <c:v>18.426521739130436</c:v>
                </c:pt>
                <c:pt idx="30">
                  <c:v>27.377559896202971</c:v>
                </c:pt>
                <c:pt idx="31">
                  <c:v>33.136428571428567</c:v>
                </c:pt>
                <c:pt idx="32">
                  <c:v>66.588355560557432</c:v>
                </c:pt>
                <c:pt idx="33">
                  <c:v>2.8247368421052688</c:v>
                </c:pt>
                <c:pt idx="34">
                  <c:v>29.510464226555353</c:v>
                </c:pt>
                <c:pt idx="35">
                  <c:v>52.362285714285711</c:v>
                </c:pt>
                <c:pt idx="36">
                  <c:v>47.867364667154341</c:v>
                </c:pt>
                <c:pt idx="37">
                  <c:v>28.066322580645156</c:v>
                </c:pt>
                <c:pt idx="38">
                  <c:v>23.405241607737949</c:v>
                </c:pt>
                <c:pt idx="39">
                  <c:v>23.606263157894745</c:v>
                </c:pt>
                <c:pt idx="40">
                  <c:v>23.493728909550001</c:v>
                </c:pt>
                <c:pt idx="41">
                  <c:v>4.3067499999999894</c:v>
                </c:pt>
                <c:pt idx="42">
                  <c:v>1.5005191495386618</c:v>
                </c:pt>
                <c:pt idx="43">
                  <c:v>5.4068421052631583</c:v>
                </c:pt>
                <c:pt idx="44">
                  <c:v>13.213298183139873</c:v>
                </c:pt>
                <c:pt idx="45">
                  <c:v>17.475866666666665</c:v>
                </c:pt>
                <c:pt idx="46">
                  <c:v>15.690005252002308</c:v>
                </c:pt>
                <c:pt idx="47">
                  <c:v>42.768786068438594</c:v>
                </c:pt>
                <c:pt idx="48">
                  <c:v>151.22015268321044</c:v>
                </c:pt>
                <c:pt idx="49">
                  <c:v>59.59517647058825</c:v>
                </c:pt>
                <c:pt idx="50">
                  <c:v>10.984804733120297</c:v>
                </c:pt>
                <c:pt idx="51">
                  <c:v>24.222181818181809</c:v>
                </c:pt>
                <c:pt idx="52">
                  <c:v>12.24312081481064</c:v>
                </c:pt>
                <c:pt idx="53">
                  <c:v>1.0988837209302393</c:v>
                </c:pt>
                <c:pt idx="54">
                  <c:v>34.290685915917187</c:v>
                </c:pt>
                <c:pt idx="55">
                  <c:v>3.2040000000000033</c:v>
                </c:pt>
                <c:pt idx="56">
                  <c:v>4.5184536872539702</c:v>
                </c:pt>
                <c:pt idx="57">
                  <c:v>20.013960784313721</c:v>
                </c:pt>
                <c:pt idx="58">
                  <c:v>11.986194736743387</c:v>
                </c:pt>
                <c:pt idx="59">
                  <c:v>14.980399999999999</c:v>
                </c:pt>
                <c:pt idx="60">
                  <c:v>74.252058597340252</c:v>
                </c:pt>
                <c:pt idx="61">
                  <c:v>51.373823529411766</c:v>
                </c:pt>
                <c:pt idx="62">
                  <c:v>15.584994513533273</c:v>
                </c:pt>
                <c:pt idx="63">
                  <c:v>108.06261222318281</c:v>
                </c:pt>
                <c:pt idx="64">
                  <c:v>142.99198613390271</c:v>
                </c:pt>
                <c:pt idx="65">
                  <c:v>215.36869565217393</c:v>
                </c:pt>
                <c:pt idx="66">
                  <c:v>54.659607833245047</c:v>
                </c:pt>
                <c:pt idx="67">
                  <c:v>19.441909090909075</c:v>
                </c:pt>
                <c:pt idx="68">
                  <c:v>2.0281399562995186</c:v>
                </c:pt>
                <c:pt idx="69">
                  <c:v>14.824210526315792</c:v>
                </c:pt>
                <c:pt idx="70">
                  <c:v>0.8514016973069467</c:v>
                </c:pt>
                <c:pt idx="71">
                  <c:v>8.0516744186046534</c:v>
                </c:pt>
                <c:pt idx="72">
                  <c:v>3.5591974290944877</c:v>
                </c:pt>
                <c:pt idx="73">
                  <c:v>4.7314285714285722</c:v>
                </c:pt>
                <c:pt idx="74">
                  <c:v>15.074529124455974</c:v>
                </c:pt>
                <c:pt idx="75">
                  <c:v>4.4246153846153922</c:v>
                </c:pt>
                <c:pt idx="76">
                  <c:v>28.211787991512193</c:v>
                </c:pt>
                <c:pt idx="77">
                  <c:v>27.758740740740727</c:v>
                </c:pt>
                <c:pt idx="78">
                  <c:v>43.539741887705794</c:v>
                </c:pt>
                <c:pt idx="79">
                  <c:v>49.636739297035575</c:v>
                </c:pt>
                <c:pt idx="80">
                  <c:v>3.6064375000000037</c:v>
                </c:pt>
                <c:pt idx="81">
                  <c:v>5.5255196903194239</c:v>
                </c:pt>
                <c:pt idx="82">
                  <c:v>62.104333333333329</c:v>
                </c:pt>
                <c:pt idx="83">
                  <c:v>5.1646500000000035</c:v>
                </c:pt>
                <c:pt idx="84">
                  <c:v>34.753718605218225</c:v>
                </c:pt>
                <c:pt idx="85">
                  <c:v>46.530571811753234</c:v>
                </c:pt>
                <c:pt idx="86">
                  <c:v>56.287500000000001</c:v>
                </c:pt>
                <c:pt idx="87">
                  <c:v>13.792062911485015</c:v>
                </c:pt>
                <c:pt idx="88">
                  <c:v>63.133869787856632</c:v>
                </c:pt>
                <c:pt idx="89">
                  <c:v>33.507274648459735</c:v>
                </c:pt>
                <c:pt idx="90">
                  <c:v>1.0867333333333267</c:v>
                </c:pt>
                <c:pt idx="91">
                  <c:v>9.0940362977670901</c:v>
                </c:pt>
                <c:pt idx="92">
                  <c:v>1.0917727272727278</c:v>
                </c:pt>
                <c:pt idx="93">
                  <c:v>0.51683546781788592</c:v>
                </c:pt>
                <c:pt idx="94">
                  <c:v>3.0898750000000015</c:v>
                </c:pt>
                <c:pt idx="95">
                  <c:v>13.729970042149994</c:v>
                </c:pt>
                <c:pt idx="96">
                  <c:v>17.032565217391323</c:v>
                </c:pt>
                <c:pt idx="97">
                  <c:v>27.508087458343475</c:v>
                </c:pt>
                <c:pt idx="98">
                  <c:v>4.8419999999999961</c:v>
                </c:pt>
                <c:pt idx="99">
                  <c:v>4.3257671129559974</c:v>
                </c:pt>
                <c:pt idx="100">
                  <c:v>32.980958333333334</c:v>
                </c:pt>
                <c:pt idx="101">
                  <c:v>54.682754760479696</c:v>
                </c:pt>
                <c:pt idx="102">
                  <c:v>79.960874999999987</c:v>
                </c:pt>
                <c:pt idx="103">
                  <c:v>12.799128051190214</c:v>
                </c:pt>
                <c:pt idx="104">
                  <c:v>122.16975903881537</c:v>
                </c:pt>
                <c:pt idx="105">
                  <c:v>0.92787500000000855</c:v>
                </c:pt>
                <c:pt idx="106">
                  <c:v>31.71064346188961</c:v>
                </c:pt>
                <c:pt idx="107">
                  <c:v>12.715571428571435</c:v>
                </c:pt>
                <c:pt idx="108">
                  <c:v>22.487025963974848</c:v>
                </c:pt>
                <c:pt idx="109">
                  <c:v>6.6424629945722362</c:v>
                </c:pt>
                <c:pt idx="110">
                  <c:v>27.753964285714272</c:v>
                </c:pt>
                <c:pt idx="111">
                  <c:v>34.569279936912103</c:v>
                </c:pt>
                <c:pt idx="112">
                  <c:v>6.3163333333333389</c:v>
                </c:pt>
                <c:pt idx="113">
                  <c:v>25.052799999999998</c:v>
                </c:pt>
                <c:pt idx="114">
                  <c:v>17.750130110238871</c:v>
                </c:pt>
                <c:pt idx="115">
                  <c:v>7.785666666666673</c:v>
                </c:pt>
                <c:pt idx="116">
                  <c:v>9.3938620812147366</c:v>
                </c:pt>
                <c:pt idx="117">
                  <c:v>10.309208333333338</c:v>
                </c:pt>
                <c:pt idx="118">
                  <c:v>21.84445035578905</c:v>
                </c:pt>
                <c:pt idx="119">
                  <c:v>10.57650000000001</c:v>
                </c:pt>
                <c:pt idx="120">
                  <c:v>2.8624056303818701</c:v>
                </c:pt>
                <c:pt idx="121">
                  <c:v>65.10288235294118</c:v>
                </c:pt>
                <c:pt idx="122">
                  <c:v>26.1015883044047</c:v>
                </c:pt>
                <c:pt idx="123">
                  <c:v>1.8204444444444392</c:v>
                </c:pt>
                <c:pt idx="124">
                  <c:v>4.1900349508249981</c:v>
                </c:pt>
                <c:pt idx="125">
                  <c:v>18.545818181818166</c:v>
                </c:pt>
                <c:pt idx="126">
                  <c:v>17.996236064999763</c:v>
                </c:pt>
                <c:pt idx="127">
                  <c:v>5.3728358936844662</c:v>
                </c:pt>
                <c:pt idx="128">
                  <c:v>7.2686666666666637</c:v>
                </c:pt>
                <c:pt idx="129">
                  <c:v>28.041120364639003</c:v>
                </c:pt>
                <c:pt idx="130">
                  <c:v>20.867235294117663</c:v>
                </c:pt>
                <c:pt idx="131">
                  <c:v>13.990291339333984</c:v>
                </c:pt>
                <c:pt idx="132">
                  <c:v>40.435384615384613</c:v>
                </c:pt>
                <c:pt idx="133">
                  <c:v>27.428980736405748</c:v>
                </c:pt>
                <c:pt idx="134">
                  <c:v>17.588000000000001</c:v>
                </c:pt>
                <c:pt idx="135">
                  <c:v>38.616219526717813</c:v>
                </c:pt>
                <c:pt idx="136">
                  <c:v>18.157200000000007</c:v>
                </c:pt>
                <c:pt idx="137">
                  <c:v>36.375416092501538</c:v>
                </c:pt>
                <c:pt idx="138">
                  <c:v>6.1203333333333276</c:v>
                </c:pt>
                <c:pt idx="139">
                  <c:v>13.456710409108791</c:v>
                </c:pt>
                <c:pt idx="140">
                  <c:v>46.379846153846152</c:v>
                </c:pt>
                <c:pt idx="141">
                  <c:v>34.632916666666659</c:v>
                </c:pt>
                <c:pt idx="142">
                  <c:v>11.376299999999995</c:v>
                </c:pt>
                <c:pt idx="143">
                  <c:v>23.503724825702044</c:v>
                </c:pt>
                <c:pt idx="144">
                  <c:v>14.985049999999999</c:v>
                </c:pt>
                <c:pt idx="145">
                  <c:v>3.5869854359247233</c:v>
                </c:pt>
                <c:pt idx="146">
                  <c:v>3.9792258064516064</c:v>
                </c:pt>
                <c:pt idx="147">
                  <c:v>5.3922706469341293</c:v>
                </c:pt>
                <c:pt idx="148">
                  <c:v>6.2608333333333324</c:v>
                </c:pt>
                <c:pt idx="149">
                  <c:v>3.0638967691798449</c:v>
                </c:pt>
                <c:pt idx="150">
                  <c:v>35.01668107556916</c:v>
                </c:pt>
                <c:pt idx="151">
                  <c:v>51.377624999999981</c:v>
                </c:pt>
                <c:pt idx="152">
                  <c:v>9.0265663784317614</c:v>
                </c:pt>
                <c:pt idx="153">
                  <c:v>44.533916666666677</c:v>
                </c:pt>
                <c:pt idx="154">
                  <c:v>24.35997317727384</c:v>
                </c:pt>
                <c:pt idx="155">
                  <c:v>17.25180952380952</c:v>
                </c:pt>
                <c:pt idx="156">
                  <c:v>2.8633075450924883</c:v>
                </c:pt>
                <c:pt idx="157">
                  <c:v>4.5093333333333279</c:v>
                </c:pt>
                <c:pt idx="158">
                  <c:v>24.447999999999997</c:v>
                </c:pt>
                <c:pt idx="159">
                  <c:v>78.094865997206881</c:v>
                </c:pt>
                <c:pt idx="160">
                  <c:v>54.237240447920783</c:v>
                </c:pt>
                <c:pt idx="161">
                  <c:v>50.874499999999998</c:v>
                </c:pt>
                <c:pt idx="162">
                  <c:v>7.7727433328854447</c:v>
                </c:pt>
                <c:pt idx="163">
                  <c:v>6.7501470229642511</c:v>
                </c:pt>
                <c:pt idx="164">
                  <c:v>0.54595833333333699</c:v>
                </c:pt>
                <c:pt idx="165">
                  <c:v>28.155465429283147</c:v>
                </c:pt>
                <c:pt idx="166">
                  <c:v>24.93062500000001</c:v>
                </c:pt>
                <c:pt idx="167">
                  <c:v>6.8151060716898275</c:v>
                </c:pt>
                <c:pt idx="168">
                  <c:v>21.098799999999997</c:v>
                </c:pt>
                <c:pt idx="169">
                  <c:v>2.1992759739642802E-2</c:v>
                </c:pt>
                <c:pt idx="170">
                  <c:v>8.7990000000000013</c:v>
                </c:pt>
                <c:pt idx="171">
                  <c:v>26.047547077795112</c:v>
                </c:pt>
                <c:pt idx="172">
                  <c:v>22.460199999999997</c:v>
                </c:pt>
                <c:pt idx="173">
                  <c:v>32.759540356010746</c:v>
                </c:pt>
                <c:pt idx="174">
                  <c:v>9.854069363945019</c:v>
                </c:pt>
                <c:pt idx="175">
                  <c:v>12.966115206422458</c:v>
                </c:pt>
                <c:pt idx="176">
                  <c:v>12.396366739819566</c:v>
                </c:pt>
                <c:pt idx="177">
                  <c:v>18.978416666666664</c:v>
                </c:pt>
                <c:pt idx="178">
                  <c:v>14.648217611687864</c:v>
                </c:pt>
                <c:pt idx="179">
                  <c:v>13.290187499999995</c:v>
                </c:pt>
                <c:pt idx="180">
                  <c:v>17.333744326718104</c:v>
                </c:pt>
                <c:pt idx="181">
                  <c:v>22.513666666666666</c:v>
                </c:pt>
                <c:pt idx="182">
                  <c:v>0.61464285714285527</c:v>
                </c:pt>
                <c:pt idx="183">
                  <c:v>10.986228060618325</c:v>
                </c:pt>
                <c:pt idx="184">
                  <c:v>28.748611111111121</c:v>
                </c:pt>
                <c:pt idx="185">
                  <c:v>23.786621841066264</c:v>
                </c:pt>
                <c:pt idx="186">
                  <c:v>28.591380952380955</c:v>
                </c:pt>
                <c:pt idx="187">
                  <c:v>21.620055146024423</c:v>
                </c:pt>
                <c:pt idx="188">
                  <c:v>28.482904761904763</c:v>
                </c:pt>
                <c:pt idx="189">
                  <c:v>41.302501189234142</c:v>
                </c:pt>
                <c:pt idx="190">
                  <c:v>16.79000000000001</c:v>
                </c:pt>
                <c:pt idx="191">
                  <c:v>12.937125000000007</c:v>
                </c:pt>
                <c:pt idx="192">
                  <c:v>2.1521681703649538</c:v>
                </c:pt>
                <c:pt idx="193">
                  <c:v>17.192357142857134</c:v>
                </c:pt>
                <c:pt idx="194">
                  <c:v>44.910116773686632</c:v>
                </c:pt>
                <c:pt idx="195">
                  <c:v>3.0616250000000123</c:v>
                </c:pt>
                <c:pt idx="196">
                  <c:v>17.232991953182161</c:v>
                </c:pt>
                <c:pt idx="197">
                  <c:v>10.401066666666663</c:v>
                </c:pt>
                <c:pt idx="198">
                  <c:v>5.8414244862672176</c:v>
                </c:pt>
              </c:numCache>
            </c:numRef>
          </c:xVal>
          <c:yVal>
            <c:numRef>
              <c:f>All_XS_Trimmed!$M$8:$M$206</c:f>
              <c:numCache>
                <c:formatCode>0.000</c:formatCode>
                <c:ptCount val="199"/>
                <c:pt idx="0">
                  <c:v>0.21945600000000001</c:v>
                </c:pt>
                <c:pt idx="1">
                  <c:v>0.38100000000000001</c:v>
                </c:pt>
                <c:pt idx="2">
                  <c:v>0.41148000000000007</c:v>
                </c:pt>
                <c:pt idx="3">
                  <c:v>0.521208</c:v>
                </c:pt>
                <c:pt idx="4">
                  <c:v>0.54864000000000002</c:v>
                </c:pt>
                <c:pt idx="5">
                  <c:v>0.60960000000000003</c:v>
                </c:pt>
                <c:pt idx="6">
                  <c:v>0.60045599999999999</c:v>
                </c:pt>
                <c:pt idx="7">
                  <c:v>0.67056000000000004</c:v>
                </c:pt>
                <c:pt idx="8">
                  <c:v>0.65532000000000001</c:v>
                </c:pt>
                <c:pt idx="9">
                  <c:v>0.71932799999999997</c:v>
                </c:pt>
                <c:pt idx="10">
                  <c:v>0.83515200000000012</c:v>
                </c:pt>
                <c:pt idx="11">
                  <c:v>0.81991199999999997</c:v>
                </c:pt>
                <c:pt idx="12">
                  <c:v>0.79857600000000006</c:v>
                </c:pt>
                <c:pt idx="13">
                  <c:v>0.89916000000000007</c:v>
                </c:pt>
                <c:pt idx="14">
                  <c:v>0.88696800000000009</c:v>
                </c:pt>
                <c:pt idx="15">
                  <c:v>0.77114399999999994</c:v>
                </c:pt>
                <c:pt idx="16">
                  <c:v>0.60350400000000004</c:v>
                </c:pt>
                <c:pt idx="17">
                  <c:v>0.33832800000000007</c:v>
                </c:pt>
                <c:pt idx="18">
                  <c:v>0.140208</c:v>
                </c:pt>
                <c:pt idx="19">
                  <c:v>0.25908000000000003</c:v>
                </c:pt>
                <c:pt idx="20">
                  <c:v>0.420624</c:v>
                </c:pt>
                <c:pt idx="21">
                  <c:v>0.36880800000000002</c:v>
                </c:pt>
                <c:pt idx="22">
                  <c:v>0.454152</c:v>
                </c:pt>
                <c:pt idx="23">
                  <c:v>0.38100000000000001</c:v>
                </c:pt>
                <c:pt idx="24">
                  <c:v>0.33832800000000007</c:v>
                </c:pt>
                <c:pt idx="25">
                  <c:v>0.18897600000000001</c:v>
                </c:pt>
                <c:pt idx="26">
                  <c:v>0.140208</c:v>
                </c:pt>
                <c:pt idx="27">
                  <c:v>6.0960000000000007E-2</c:v>
                </c:pt>
                <c:pt idx="28">
                  <c:v>0.25908000000000003</c:v>
                </c:pt>
                <c:pt idx="29">
                  <c:v>0.40538400000000002</c:v>
                </c:pt>
                <c:pt idx="30">
                  <c:v>0.70104</c:v>
                </c:pt>
                <c:pt idx="31">
                  <c:v>1.018032</c:v>
                </c:pt>
                <c:pt idx="32">
                  <c:v>0.32004000000000005</c:v>
                </c:pt>
                <c:pt idx="33">
                  <c:v>0.55473600000000001</c:v>
                </c:pt>
                <c:pt idx="34">
                  <c:v>0.73152000000000006</c:v>
                </c:pt>
                <c:pt idx="35">
                  <c:v>0.55473600000000001</c:v>
                </c:pt>
                <c:pt idx="36">
                  <c:v>0.85039200000000004</c:v>
                </c:pt>
                <c:pt idx="37">
                  <c:v>1.1155680000000001</c:v>
                </c:pt>
                <c:pt idx="38">
                  <c:v>1.2710160000000001</c:v>
                </c:pt>
                <c:pt idx="39">
                  <c:v>1.3807440000000002</c:v>
                </c:pt>
                <c:pt idx="40">
                  <c:v>1.6184879999999999</c:v>
                </c:pt>
                <c:pt idx="41">
                  <c:v>1.3807440000000002</c:v>
                </c:pt>
                <c:pt idx="42">
                  <c:v>1.3197840000000001</c:v>
                </c:pt>
                <c:pt idx="43">
                  <c:v>1.2161520000000001</c:v>
                </c:pt>
                <c:pt idx="44">
                  <c:v>1.3594079999999999</c:v>
                </c:pt>
                <c:pt idx="45">
                  <c:v>1.018032</c:v>
                </c:pt>
                <c:pt idx="46">
                  <c:v>0.25908000000000003</c:v>
                </c:pt>
                <c:pt idx="47">
                  <c:v>0</c:v>
                </c:pt>
                <c:pt idx="48">
                  <c:v>0.17068800000000003</c:v>
                </c:pt>
                <c:pt idx="49">
                  <c:v>0.33832800000000007</c:v>
                </c:pt>
                <c:pt idx="50">
                  <c:v>0.56997600000000004</c:v>
                </c:pt>
                <c:pt idx="51">
                  <c:v>0.77114399999999994</c:v>
                </c:pt>
                <c:pt idx="52">
                  <c:v>0.95097600000000004</c:v>
                </c:pt>
                <c:pt idx="53">
                  <c:v>0.95097600000000004</c:v>
                </c:pt>
                <c:pt idx="54">
                  <c:v>1.109472</c:v>
                </c:pt>
                <c:pt idx="55">
                  <c:v>0.78638400000000008</c:v>
                </c:pt>
                <c:pt idx="56">
                  <c:v>1.1490960000000001</c:v>
                </c:pt>
                <c:pt idx="57">
                  <c:v>0.73761600000000005</c:v>
                </c:pt>
                <c:pt idx="58">
                  <c:v>0.67970399999999997</c:v>
                </c:pt>
                <c:pt idx="59">
                  <c:v>0.521208</c:v>
                </c:pt>
                <c:pt idx="60">
                  <c:v>0.29870400000000003</c:v>
                </c:pt>
                <c:pt idx="61">
                  <c:v>0.53644800000000004</c:v>
                </c:pt>
                <c:pt idx="62">
                  <c:v>0.95097600000000004</c:v>
                </c:pt>
                <c:pt idx="63">
                  <c:v>0.85039200000000004</c:v>
                </c:pt>
                <c:pt idx="64">
                  <c:v>0.81991199999999997</c:v>
                </c:pt>
                <c:pt idx="65">
                  <c:v>0.73761600000000005</c:v>
                </c:pt>
                <c:pt idx="66">
                  <c:v>0.32918400000000003</c:v>
                </c:pt>
                <c:pt idx="67">
                  <c:v>0.47244000000000003</c:v>
                </c:pt>
                <c:pt idx="68">
                  <c:v>0.50901600000000002</c:v>
                </c:pt>
                <c:pt idx="69">
                  <c:v>0.47244000000000003</c:v>
                </c:pt>
                <c:pt idx="70">
                  <c:v>0.78028800000000009</c:v>
                </c:pt>
                <c:pt idx="71">
                  <c:v>0.95097600000000004</c:v>
                </c:pt>
                <c:pt idx="72">
                  <c:v>1.008888</c:v>
                </c:pt>
                <c:pt idx="73">
                  <c:v>1.1826240000000001</c:v>
                </c:pt>
                <c:pt idx="74">
                  <c:v>1.0911840000000002</c:v>
                </c:pt>
                <c:pt idx="75">
                  <c:v>1.0850880000000001</c:v>
                </c:pt>
                <c:pt idx="76">
                  <c:v>0.841248</c:v>
                </c:pt>
                <c:pt idx="77">
                  <c:v>0.43891200000000002</c:v>
                </c:pt>
                <c:pt idx="78">
                  <c:v>0.11887200000000001</c:v>
                </c:pt>
                <c:pt idx="79">
                  <c:v>0.22860000000000003</c:v>
                </c:pt>
                <c:pt idx="80">
                  <c:v>1.1826240000000001</c:v>
                </c:pt>
                <c:pt idx="81">
                  <c:v>1.3685520000000002</c:v>
                </c:pt>
                <c:pt idx="82">
                  <c:v>1.231392</c:v>
                </c:pt>
                <c:pt idx="83">
                  <c:v>1.3655040000000003</c:v>
                </c:pt>
                <c:pt idx="84">
                  <c:v>1.0698479999999999</c:v>
                </c:pt>
                <c:pt idx="85">
                  <c:v>0.27127200000000001</c:v>
                </c:pt>
                <c:pt idx="86">
                  <c:v>0.25603199999999998</c:v>
                </c:pt>
                <c:pt idx="87">
                  <c:v>0.11887200000000001</c:v>
                </c:pt>
                <c:pt idx="88">
                  <c:v>0.18897600000000001</c:v>
                </c:pt>
                <c:pt idx="89">
                  <c:v>0.32918400000000003</c:v>
                </c:pt>
                <c:pt idx="90">
                  <c:v>0.27127200000000001</c:v>
                </c:pt>
                <c:pt idx="91">
                  <c:v>0.35052</c:v>
                </c:pt>
                <c:pt idx="92">
                  <c:v>0.32308800000000004</c:v>
                </c:pt>
                <c:pt idx="93">
                  <c:v>0.39014400000000005</c:v>
                </c:pt>
                <c:pt idx="94">
                  <c:v>0.35356799999999999</c:v>
                </c:pt>
                <c:pt idx="95">
                  <c:v>0.38100000000000001</c:v>
                </c:pt>
                <c:pt idx="96">
                  <c:v>0.33832800000000007</c:v>
                </c:pt>
                <c:pt idx="97">
                  <c:v>0.39928800000000003</c:v>
                </c:pt>
                <c:pt idx="98">
                  <c:v>0.43891200000000002</c:v>
                </c:pt>
                <c:pt idx="99">
                  <c:v>0.420624</c:v>
                </c:pt>
                <c:pt idx="100">
                  <c:v>0.43891200000000002</c:v>
                </c:pt>
                <c:pt idx="101">
                  <c:v>0.39014400000000005</c:v>
                </c:pt>
                <c:pt idx="102">
                  <c:v>0.33832800000000007</c:v>
                </c:pt>
                <c:pt idx="103">
                  <c:v>0.25908000000000003</c:v>
                </c:pt>
                <c:pt idx="104">
                  <c:v>0.27127200000000001</c:v>
                </c:pt>
                <c:pt idx="105">
                  <c:v>0.50596799999999997</c:v>
                </c:pt>
                <c:pt idx="106">
                  <c:v>0.74980800000000003</c:v>
                </c:pt>
                <c:pt idx="107">
                  <c:v>0.801624</c:v>
                </c:pt>
                <c:pt idx="108">
                  <c:v>1.389888</c:v>
                </c:pt>
                <c:pt idx="109">
                  <c:v>1.4203680000000001</c:v>
                </c:pt>
                <c:pt idx="110">
                  <c:v>1.612392</c:v>
                </c:pt>
                <c:pt idx="111">
                  <c:v>1.3594079999999999</c:v>
                </c:pt>
                <c:pt idx="112">
                  <c:v>1.1338560000000002</c:v>
                </c:pt>
                <c:pt idx="113">
                  <c:v>1.0332720000000002</c:v>
                </c:pt>
                <c:pt idx="114">
                  <c:v>0.81076800000000004</c:v>
                </c:pt>
                <c:pt idx="115">
                  <c:v>0.91744799999999993</c:v>
                </c:pt>
                <c:pt idx="116">
                  <c:v>0.81991199999999997</c:v>
                </c:pt>
                <c:pt idx="117">
                  <c:v>1.0027920000000001</c:v>
                </c:pt>
                <c:pt idx="118">
                  <c:v>1.0911840000000002</c:v>
                </c:pt>
                <c:pt idx="119">
                  <c:v>0.81991199999999997</c:v>
                </c:pt>
                <c:pt idx="120">
                  <c:v>0.78943200000000002</c:v>
                </c:pt>
                <c:pt idx="121">
                  <c:v>0.27127200000000001</c:v>
                </c:pt>
                <c:pt idx="122">
                  <c:v>0.35052</c:v>
                </c:pt>
                <c:pt idx="123">
                  <c:v>0.32308800000000004</c:v>
                </c:pt>
                <c:pt idx="124">
                  <c:v>0.46939200000000003</c:v>
                </c:pt>
                <c:pt idx="125">
                  <c:v>0.420624</c:v>
                </c:pt>
                <c:pt idx="126">
                  <c:v>0.420624</c:v>
                </c:pt>
                <c:pt idx="127">
                  <c:v>0.53949600000000009</c:v>
                </c:pt>
                <c:pt idx="128">
                  <c:v>0.75285600000000008</c:v>
                </c:pt>
                <c:pt idx="129">
                  <c:v>0.75895200000000007</c:v>
                </c:pt>
                <c:pt idx="130">
                  <c:v>0.70408800000000005</c:v>
                </c:pt>
                <c:pt idx="131">
                  <c:v>0.77114399999999994</c:v>
                </c:pt>
                <c:pt idx="132">
                  <c:v>0.58826400000000001</c:v>
                </c:pt>
                <c:pt idx="133">
                  <c:v>0.64008000000000009</c:v>
                </c:pt>
                <c:pt idx="134">
                  <c:v>0.56997600000000004</c:v>
                </c:pt>
                <c:pt idx="135">
                  <c:v>0.60045599999999999</c:v>
                </c:pt>
                <c:pt idx="136">
                  <c:v>0.58826400000000001</c:v>
                </c:pt>
                <c:pt idx="137">
                  <c:v>0.57911999999999997</c:v>
                </c:pt>
                <c:pt idx="138">
                  <c:v>0.56997600000000004</c:v>
                </c:pt>
                <c:pt idx="139">
                  <c:v>0.50901600000000002</c:v>
                </c:pt>
                <c:pt idx="140">
                  <c:v>0.521208</c:v>
                </c:pt>
                <c:pt idx="141">
                  <c:v>0.37185600000000002</c:v>
                </c:pt>
                <c:pt idx="142">
                  <c:v>0.22250400000000001</c:v>
                </c:pt>
                <c:pt idx="143">
                  <c:v>0.24993599999999999</c:v>
                </c:pt>
                <c:pt idx="144">
                  <c:v>0.23774400000000001</c:v>
                </c:pt>
                <c:pt idx="145">
                  <c:v>0.34137600000000007</c:v>
                </c:pt>
                <c:pt idx="146">
                  <c:v>0.35356799999999999</c:v>
                </c:pt>
                <c:pt idx="147">
                  <c:v>0.420624</c:v>
                </c:pt>
                <c:pt idx="148">
                  <c:v>0.38709600000000005</c:v>
                </c:pt>
                <c:pt idx="149">
                  <c:v>0.42976799999999998</c:v>
                </c:pt>
                <c:pt idx="150">
                  <c:v>0.29870400000000003</c:v>
                </c:pt>
                <c:pt idx="151">
                  <c:v>0.70408800000000005</c:v>
                </c:pt>
                <c:pt idx="152">
                  <c:v>1.1186160000000001</c:v>
                </c:pt>
                <c:pt idx="153">
                  <c:v>0.86868000000000012</c:v>
                </c:pt>
                <c:pt idx="154">
                  <c:v>1.5087600000000001</c:v>
                </c:pt>
                <c:pt idx="155">
                  <c:v>1.331976</c:v>
                </c:pt>
                <c:pt idx="156">
                  <c:v>1.4996160000000001</c:v>
                </c:pt>
                <c:pt idx="157">
                  <c:v>1.2496799999999999</c:v>
                </c:pt>
                <c:pt idx="158">
                  <c:v>1.0850880000000001</c:v>
                </c:pt>
                <c:pt idx="159">
                  <c:v>0.420624</c:v>
                </c:pt>
                <c:pt idx="160">
                  <c:v>0.521208</c:v>
                </c:pt>
                <c:pt idx="161">
                  <c:v>0.68580000000000008</c:v>
                </c:pt>
                <c:pt idx="162">
                  <c:v>0.7406640000000001</c:v>
                </c:pt>
                <c:pt idx="163">
                  <c:v>0.7406640000000001</c:v>
                </c:pt>
                <c:pt idx="164">
                  <c:v>0.77114399999999994</c:v>
                </c:pt>
                <c:pt idx="165">
                  <c:v>0.85953599999999997</c:v>
                </c:pt>
                <c:pt idx="166">
                  <c:v>0.91744799999999993</c:v>
                </c:pt>
                <c:pt idx="167">
                  <c:v>0.78028800000000009</c:v>
                </c:pt>
                <c:pt idx="168">
                  <c:v>0.95097600000000004</c:v>
                </c:pt>
                <c:pt idx="169">
                  <c:v>0.91135200000000016</c:v>
                </c:pt>
                <c:pt idx="170">
                  <c:v>0.96926400000000013</c:v>
                </c:pt>
                <c:pt idx="171">
                  <c:v>0.78028800000000009</c:v>
                </c:pt>
                <c:pt idx="172">
                  <c:v>0.38709600000000005</c:v>
                </c:pt>
                <c:pt idx="173">
                  <c:v>0.17068800000000003</c:v>
                </c:pt>
                <c:pt idx="174">
                  <c:v>0.11887200000000001</c:v>
                </c:pt>
                <c:pt idx="175">
                  <c:v>0.15849600000000003</c:v>
                </c:pt>
                <c:pt idx="176">
                  <c:v>0.29870400000000003</c:v>
                </c:pt>
                <c:pt idx="177">
                  <c:v>0.27127200000000001</c:v>
                </c:pt>
                <c:pt idx="178">
                  <c:v>0.32004000000000005</c:v>
                </c:pt>
                <c:pt idx="179">
                  <c:v>0.32308800000000004</c:v>
                </c:pt>
                <c:pt idx="180">
                  <c:v>0.24993599999999999</c:v>
                </c:pt>
                <c:pt idx="181">
                  <c:v>0.155448</c:v>
                </c:pt>
                <c:pt idx="182">
                  <c:v>0.53644800000000004</c:v>
                </c:pt>
                <c:pt idx="183">
                  <c:v>0.59131200000000006</c:v>
                </c:pt>
                <c:pt idx="184">
                  <c:v>0.63703200000000004</c:v>
                </c:pt>
                <c:pt idx="185">
                  <c:v>0.661416</c:v>
                </c:pt>
                <c:pt idx="186">
                  <c:v>0.75285600000000008</c:v>
                </c:pt>
                <c:pt idx="187">
                  <c:v>0.71018400000000004</c:v>
                </c:pt>
                <c:pt idx="188">
                  <c:v>0.81991199999999997</c:v>
                </c:pt>
                <c:pt idx="189">
                  <c:v>0.63093599999999994</c:v>
                </c:pt>
                <c:pt idx="190">
                  <c:v>0.521208</c:v>
                </c:pt>
                <c:pt idx="191">
                  <c:v>0.65532000000000001</c:v>
                </c:pt>
                <c:pt idx="192">
                  <c:v>7.0104E-2</c:v>
                </c:pt>
                <c:pt idx="193">
                  <c:v>1.1490960000000001</c:v>
                </c:pt>
                <c:pt idx="194">
                  <c:v>1.3594079999999999</c:v>
                </c:pt>
                <c:pt idx="195">
                  <c:v>1.2649200000000003</c:v>
                </c:pt>
                <c:pt idx="196">
                  <c:v>0.98145600000000011</c:v>
                </c:pt>
                <c:pt idx="197">
                  <c:v>1.0515600000000001</c:v>
                </c:pt>
                <c:pt idx="198">
                  <c:v>1.2192000000000001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487808"/>
        <c:axId val="132486272"/>
      </c:scatterChart>
      <c:valAx>
        <c:axId val="132487808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132486272"/>
        <c:crosses val="autoZero"/>
        <c:crossBetween val="midCat"/>
      </c:valAx>
      <c:valAx>
        <c:axId val="132486272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13248780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a. Vel XS-1</a:t>
            </a:r>
          </a:p>
        </c:rich>
      </c:tx>
      <c:layout>
        <c:manualLayout>
          <c:xMode val="edge"/>
          <c:yMode val="edge"/>
          <c:x val="0.16972222222222241"/>
          <c:y val="0.06666666666666668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09"/>
          <c:w val="0.82705489938757781"/>
          <c:h val="0.80167454068241473"/>
        </c:manualLayout>
      </c:layout>
      <c:scatterChart>
        <c:scatterStyle val="lineMarker"/>
        <c:varyColors val="0"/>
        <c:ser>
          <c:idx val="0"/>
          <c:order val="0"/>
          <c:tx>
            <c:v>Observed</c:v>
          </c:tx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'All_XS_(m)'!$F$5:$F$23</c:f>
              <c:numCache>
                <c:formatCode>0.000</c:formatCode>
                <c:ptCount val="19"/>
                <c:pt idx="0">
                  <c:v>4.5793881636012026</c:v>
                </c:pt>
                <c:pt idx="1">
                  <c:v>7.8452884744283988</c:v>
                </c:pt>
                <c:pt idx="2">
                  <c:v>10.626938429669481</c:v>
                </c:pt>
                <c:pt idx="3">
                  <c:v>13.753439387318677</c:v>
                </c:pt>
                <c:pt idx="4">
                  <c:v>16.581851561512309</c:v>
                </c:pt>
                <c:pt idx="5">
                  <c:v>19.606805220873454</c:v>
                </c:pt>
                <c:pt idx="6">
                  <c:v>22.468841790568458</c:v>
                </c:pt>
                <c:pt idx="7">
                  <c:v>25.181550917045701</c:v>
                </c:pt>
                <c:pt idx="8">
                  <c:v>27.899934456243368</c:v>
                </c:pt>
                <c:pt idx="9">
                  <c:v>30.736196724082632</c:v>
                </c:pt>
                <c:pt idx="10">
                  <c:v>33.663842532678494</c:v>
                </c:pt>
                <c:pt idx="11">
                  <c:v>36.580066099142314</c:v>
                </c:pt>
                <c:pt idx="12">
                  <c:v>39.428573565616311</c:v>
                </c:pt>
                <c:pt idx="13">
                  <c:v>42.617382614758142</c:v>
                </c:pt>
                <c:pt idx="14">
                  <c:v>45.942112526975933</c:v>
                </c:pt>
                <c:pt idx="15">
                  <c:v>49.42610599113636</c:v>
                </c:pt>
                <c:pt idx="16">
                  <c:v>52.103942449982505</c:v>
                </c:pt>
                <c:pt idx="17">
                  <c:v>55.09097311931135</c:v>
                </c:pt>
                <c:pt idx="18">
                  <c:v>58.017892611712824</c:v>
                </c:pt>
              </c:numCache>
            </c:numRef>
          </c:xVal>
          <c:yVal>
            <c:numRef>
              <c:f>'All_XS_(m)'!$G$5:$G$23</c:f>
              <c:numCache>
                <c:formatCode>0.000</c:formatCode>
                <c:ptCount val="19"/>
                <c:pt idx="0">
                  <c:v>0.21945600000000001</c:v>
                </c:pt>
                <c:pt idx="1">
                  <c:v>0.38100000000000001</c:v>
                </c:pt>
                <c:pt idx="2">
                  <c:v>0.41148000000000007</c:v>
                </c:pt>
                <c:pt idx="3">
                  <c:v>0.521208</c:v>
                </c:pt>
                <c:pt idx="4">
                  <c:v>0.54864000000000002</c:v>
                </c:pt>
                <c:pt idx="5">
                  <c:v>0.60960000000000003</c:v>
                </c:pt>
                <c:pt idx="6">
                  <c:v>0.60045599999999999</c:v>
                </c:pt>
                <c:pt idx="7">
                  <c:v>0.67056000000000004</c:v>
                </c:pt>
                <c:pt idx="8">
                  <c:v>0.65532000000000001</c:v>
                </c:pt>
                <c:pt idx="9">
                  <c:v>0.71932799999999997</c:v>
                </c:pt>
                <c:pt idx="10">
                  <c:v>0.83515200000000012</c:v>
                </c:pt>
                <c:pt idx="11">
                  <c:v>0.81991199999999997</c:v>
                </c:pt>
                <c:pt idx="12">
                  <c:v>0.79857600000000006</c:v>
                </c:pt>
                <c:pt idx="13">
                  <c:v>0.89916000000000007</c:v>
                </c:pt>
                <c:pt idx="14">
                  <c:v>0.88696800000000009</c:v>
                </c:pt>
                <c:pt idx="15">
                  <c:v>0.77114399999999994</c:v>
                </c:pt>
                <c:pt idx="16">
                  <c:v>0.60350400000000004</c:v>
                </c:pt>
                <c:pt idx="17">
                  <c:v>0.33832800000000007</c:v>
                </c:pt>
                <c:pt idx="18">
                  <c:v>0.140208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tx>
            <c:v>Modeled</c:v>
          </c:tx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'All_XS_(m)'!$F$5:$F$23</c:f>
              <c:numCache>
                <c:formatCode>0.000</c:formatCode>
                <c:ptCount val="19"/>
                <c:pt idx="0">
                  <c:v>4.5793881636012026</c:v>
                </c:pt>
                <c:pt idx="1">
                  <c:v>7.8452884744283988</c:v>
                </c:pt>
                <c:pt idx="2">
                  <c:v>10.626938429669481</c:v>
                </c:pt>
                <c:pt idx="3">
                  <c:v>13.753439387318677</c:v>
                </c:pt>
                <c:pt idx="4">
                  <c:v>16.581851561512309</c:v>
                </c:pt>
                <c:pt idx="5">
                  <c:v>19.606805220873454</c:v>
                </c:pt>
                <c:pt idx="6">
                  <c:v>22.468841790568458</c:v>
                </c:pt>
                <c:pt idx="7">
                  <c:v>25.181550917045701</c:v>
                </c:pt>
                <c:pt idx="8">
                  <c:v>27.899934456243368</c:v>
                </c:pt>
                <c:pt idx="9">
                  <c:v>30.736196724082632</c:v>
                </c:pt>
                <c:pt idx="10">
                  <c:v>33.663842532678494</c:v>
                </c:pt>
                <c:pt idx="11">
                  <c:v>36.580066099142314</c:v>
                </c:pt>
                <c:pt idx="12">
                  <c:v>39.428573565616311</c:v>
                </c:pt>
                <c:pt idx="13">
                  <c:v>42.617382614758142</c:v>
                </c:pt>
                <c:pt idx="14">
                  <c:v>45.942112526975933</c:v>
                </c:pt>
                <c:pt idx="15">
                  <c:v>49.42610599113636</c:v>
                </c:pt>
                <c:pt idx="16">
                  <c:v>52.103942449982505</c:v>
                </c:pt>
                <c:pt idx="17">
                  <c:v>55.09097311931135</c:v>
                </c:pt>
                <c:pt idx="18">
                  <c:v>58.017892611712824</c:v>
                </c:pt>
              </c:numCache>
            </c:numRef>
          </c:xVal>
          <c:yVal>
            <c:numRef>
              <c:f>'All_XS_(m)'!$H$5:$H$23</c:f>
              <c:numCache>
                <c:formatCode>0.000</c:formatCode>
                <c:ptCount val="19"/>
                <c:pt idx="0">
                  <c:v>0.38803783200000003</c:v>
                </c:pt>
                <c:pt idx="1">
                  <c:v>0.5479295112</c:v>
                </c:pt>
                <c:pt idx="2">
                  <c:v>0.64235868480000002</c:v>
                </c:pt>
                <c:pt idx="3">
                  <c:v>0.68435006639999996</c:v>
                </c:pt>
                <c:pt idx="4">
                  <c:v>0.70399686480000001</c:v>
                </c:pt>
                <c:pt idx="5">
                  <c:v>0.70495027919999997</c:v>
                </c:pt>
                <c:pt idx="6">
                  <c:v>0.70998496560000002</c:v>
                </c:pt>
                <c:pt idx="7">
                  <c:v>0.71472308160000009</c:v>
                </c:pt>
                <c:pt idx="8">
                  <c:v>0.72222238080000001</c:v>
                </c:pt>
                <c:pt idx="9">
                  <c:v>0.73690916880000001</c:v>
                </c:pt>
                <c:pt idx="10">
                  <c:v>0.7533933624000001</c:v>
                </c:pt>
                <c:pt idx="11">
                  <c:v>0.76888512720000002</c:v>
                </c:pt>
                <c:pt idx="12">
                  <c:v>0.80436049440000001</c:v>
                </c:pt>
                <c:pt idx="13">
                  <c:v>0.8112767112</c:v>
                </c:pt>
                <c:pt idx="14">
                  <c:v>0.78345578640000013</c:v>
                </c:pt>
                <c:pt idx="15">
                  <c:v>0.6967042200000001</c:v>
                </c:pt>
                <c:pt idx="16">
                  <c:v>0.59049879360000002</c:v>
                </c:pt>
                <c:pt idx="17">
                  <c:v>0.44598762720000001</c:v>
                </c:pt>
                <c:pt idx="18">
                  <c:v>0.27232996079999999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57088"/>
        <c:axId val="122058624"/>
      </c:scatterChart>
      <c:valAx>
        <c:axId val="122057088"/>
        <c:scaling>
          <c:orientation val="minMax"/>
          <c:max val="60"/>
        </c:scaling>
        <c:delete val="0"/>
        <c:axPos val="b"/>
        <c:numFmt formatCode="0" sourceLinked="0"/>
        <c:majorTickMark val="in"/>
        <c:minorTickMark val="none"/>
        <c:tickLblPos val="none"/>
        <c:crossAx val="122058624"/>
        <c:crosses val="autoZero"/>
        <c:crossBetween val="midCat"/>
      </c:valAx>
      <c:valAx>
        <c:axId val="122058624"/>
        <c:scaling>
          <c:orientation val="minMax"/>
          <c:max val="1"/>
          <c:min val="0"/>
        </c:scaling>
        <c:delete val="0"/>
        <c:axPos val="l"/>
        <c:numFmt formatCode="0.0" sourceLinked="0"/>
        <c:majorTickMark val="in"/>
        <c:minorTickMark val="none"/>
        <c:tickLblPos val="nextTo"/>
        <c:crossAx val="122057088"/>
        <c:crosses val="autoZero"/>
        <c:crossBetween val="midCat"/>
        <c:majorUnit val="0.30000000000000032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52417491253767245"/>
          <c:y val="0.6114712160979886"/>
          <c:w val="0.44819134350178674"/>
          <c:h val="0.27483534558180228"/>
        </c:manualLayout>
      </c:layout>
      <c:overlay val="1"/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33" b="0.75000000000000133" header="0.30000000000000032" footer="0.30000000000000032"/>
    <c:pageSetup orientation="portrait"/>
  </c:printSettings>
  <c:userShapes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d. Depth XS-1</a:t>
            </a:r>
          </a:p>
        </c:rich>
      </c:tx>
      <c:layout>
        <c:manualLayout>
          <c:xMode val="edge"/>
          <c:yMode val="edge"/>
          <c:x val="0.18361111111111131"/>
          <c:y val="0.64888888888888985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23"/>
          <c:w val="0.82705489938757804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'All_XS_(m)'!$L$5:$L$23</c:f>
              <c:numCache>
                <c:formatCode>0.000</c:formatCode>
                <c:ptCount val="19"/>
                <c:pt idx="0">
                  <c:v>4.5793881636012026</c:v>
                </c:pt>
                <c:pt idx="1">
                  <c:v>7.8452884744283988</c:v>
                </c:pt>
                <c:pt idx="2">
                  <c:v>10.626938429669481</c:v>
                </c:pt>
                <c:pt idx="3">
                  <c:v>13.753439387318677</c:v>
                </c:pt>
                <c:pt idx="4">
                  <c:v>16.581851561512309</c:v>
                </c:pt>
                <c:pt idx="5">
                  <c:v>19.606805220873454</c:v>
                </c:pt>
                <c:pt idx="6">
                  <c:v>22.468841790568458</c:v>
                </c:pt>
                <c:pt idx="7">
                  <c:v>25.181550917045701</c:v>
                </c:pt>
                <c:pt idx="8">
                  <c:v>27.899934456243368</c:v>
                </c:pt>
                <c:pt idx="9">
                  <c:v>30.736196724082632</c:v>
                </c:pt>
                <c:pt idx="10">
                  <c:v>33.663842532678494</c:v>
                </c:pt>
                <c:pt idx="11">
                  <c:v>36.580066099142314</c:v>
                </c:pt>
                <c:pt idx="12">
                  <c:v>39.428573565616311</c:v>
                </c:pt>
                <c:pt idx="13">
                  <c:v>42.617382614758142</c:v>
                </c:pt>
                <c:pt idx="14">
                  <c:v>45.942112526975933</c:v>
                </c:pt>
                <c:pt idx="15">
                  <c:v>49.42610599113636</c:v>
                </c:pt>
                <c:pt idx="16">
                  <c:v>52.103942449982505</c:v>
                </c:pt>
                <c:pt idx="17">
                  <c:v>55.09097311931135</c:v>
                </c:pt>
                <c:pt idx="18">
                  <c:v>58.017892611712824</c:v>
                </c:pt>
              </c:numCache>
            </c:numRef>
          </c:xVal>
          <c:yVal>
            <c:numRef>
              <c:f>'All_XS_(m)'!$M$5:$M$23</c:f>
              <c:numCache>
                <c:formatCode>0.000</c:formatCode>
                <c:ptCount val="19"/>
                <c:pt idx="0">
                  <c:v>0.14999817600000001</c:v>
                </c:pt>
                <c:pt idx="1">
                  <c:v>0.21999732480000003</c:v>
                </c:pt>
                <c:pt idx="2">
                  <c:v>0.32999598720000006</c:v>
                </c:pt>
                <c:pt idx="3">
                  <c:v>0.33499592640000009</c:v>
                </c:pt>
                <c:pt idx="4">
                  <c:v>0.33999586560000011</c:v>
                </c:pt>
                <c:pt idx="5">
                  <c:v>0.44999452800000006</c:v>
                </c:pt>
                <c:pt idx="6">
                  <c:v>0.51999367680000008</c:v>
                </c:pt>
                <c:pt idx="7">
                  <c:v>0.51999367680000008</c:v>
                </c:pt>
                <c:pt idx="8">
                  <c:v>0.51816000000000006</c:v>
                </c:pt>
                <c:pt idx="9">
                  <c:v>0.61999246080000003</c:v>
                </c:pt>
                <c:pt idx="10">
                  <c:v>0.67056000000000004</c:v>
                </c:pt>
                <c:pt idx="11">
                  <c:v>0.699991488</c:v>
                </c:pt>
                <c:pt idx="12">
                  <c:v>0.78999039360000012</c:v>
                </c:pt>
                <c:pt idx="13">
                  <c:v>0.83998978560000004</c:v>
                </c:pt>
                <c:pt idx="14">
                  <c:v>0.82296000000000014</c:v>
                </c:pt>
                <c:pt idx="15">
                  <c:v>0.72999112320000004</c:v>
                </c:pt>
                <c:pt idx="16">
                  <c:v>0.53339999999999999</c:v>
                </c:pt>
                <c:pt idx="17">
                  <c:v>0.35052</c:v>
                </c:pt>
                <c:pt idx="18">
                  <c:v>0.18999768960000002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'All_XS_(m)'!$L$5:$L$23</c:f>
              <c:numCache>
                <c:formatCode>0.000</c:formatCode>
                <c:ptCount val="19"/>
                <c:pt idx="0">
                  <c:v>4.5793881636012026</c:v>
                </c:pt>
                <c:pt idx="1">
                  <c:v>7.8452884744283988</c:v>
                </c:pt>
                <c:pt idx="2">
                  <c:v>10.626938429669481</c:v>
                </c:pt>
                <c:pt idx="3">
                  <c:v>13.753439387318677</c:v>
                </c:pt>
                <c:pt idx="4">
                  <c:v>16.581851561512309</c:v>
                </c:pt>
                <c:pt idx="5">
                  <c:v>19.606805220873454</c:v>
                </c:pt>
                <c:pt idx="6">
                  <c:v>22.468841790568458</c:v>
                </c:pt>
                <c:pt idx="7">
                  <c:v>25.181550917045701</c:v>
                </c:pt>
                <c:pt idx="8">
                  <c:v>27.899934456243368</c:v>
                </c:pt>
                <c:pt idx="9">
                  <c:v>30.736196724082632</c:v>
                </c:pt>
                <c:pt idx="10">
                  <c:v>33.663842532678494</c:v>
                </c:pt>
                <c:pt idx="11">
                  <c:v>36.580066099142314</c:v>
                </c:pt>
                <c:pt idx="12">
                  <c:v>39.428573565616311</c:v>
                </c:pt>
                <c:pt idx="13">
                  <c:v>42.617382614758142</c:v>
                </c:pt>
                <c:pt idx="14">
                  <c:v>45.942112526975933</c:v>
                </c:pt>
                <c:pt idx="15">
                  <c:v>49.42610599113636</c:v>
                </c:pt>
                <c:pt idx="16">
                  <c:v>52.103942449982505</c:v>
                </c:pt>
                <c:pt idx="17">
                  <c:v>55.09097311931135</c:v>
                </c:pt>
                <c:pt idx="18">
                  <c:v>58.017892611712824</c:v>
                </c:pt>
              </c:numCache>
            </c:numRef>
          </c:xVal>
          <c:yVal>
            <c:numRef>
              <c:f>'All_XS_(m)'!$N$5:$N$23</c:f>
              <c:numCache>
                <c:formatCode>0.000</c:formatCode>
                <c:ptCount val="19"/>
                <c:pt idx="0">
                  <c:v>0.141794484</c:v>
                </c:pt>
                <c:pt idx="1">
                  <c:v>0.2740581768</c:v>
                </c:pt>
                <c:pt idx="2">
                  <c:v>0.32754844320000004</c:v>
                </c:pt>
                <c:pt idx="3">
                  <c:v>0.38953196160000003</c:v>
                </c:pt>
                <c:pt idx="4">
                  <c:v>0.43332897840000001</c:v>
                </c:pt>
                <c:pt idx="5">
                  <c:v>0.50488047359999999</c:v>
                </c:pt>
                <c:pt idx="6">
                  <c:v>0.52661972400000001</c:v>
                </c:pt>
                <c:pt idx="7">
                  <c:v>0.54624640560000004</c:v>
                </c:pt>
                <c:pt idx="8">
                  <c:v>0.62468455200000006</c:v>
                </c:pt>
                <c:pt idx="9">
                  <c:v>0.75220067999999995</c:v>
                </c:pt>
                <c:pt idx="10">
                  <c:v>0.71893236960000007</c:v>
                </c:pt>
                <c:pt idx="11">
                  <c:v>0.889476504</c:v>
                </c:pt>
                <c:pt idx="12">
                  <c:v>1.0095027816</c:v>
                </c:pt>
                <c:pt idx="13">
                  <c:v>0.90818817600000012</c:v>
                </c:pt>
                <c:pt idx="14">
                  <c:v>0.89102305920000002</c:v>
                </c:pt>
                <c:pt idx="15">
                  <c:v>0.69959433360000001</c:v>
                </c:pt>
                <c:pt idx="16">
                  <c:v>0.54915328320000001</c:v>
                </c:pt>
                <c:pt idx="17">
                  <c:v>0.38083845600000005</c:v>
                </c:pt>
                <c:pt idx="18">
                  <c:v>0.21440729279999998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006528"/>
        <c:axId val="122831616"/>
      </c:scatterChart>
      <c:valAx>
        <c:axId val="122006528"/>
        <c:scaling>
          <c:orientation val="minMax"/>
          <c:max val="60"/>
        </c:scaling>
        <c:delete val="0"/>
        <c:axPos val="b"/>
        <c:numFmt formatCode="0" sourceLinked="0"/>
        <c:majorTickMark val="in"/>
        <c:minorTickMark val="none"/>
        <c:tickLblPos val="none"/>
        <c:crossAx val="122831616"/>
        <c:crosses val="max"/>
        <c:crossBetween val="midCat"/>
      </c:valAx>
      <c:valAx>
        <c:axId val="122831616"/>
        <c:scaling>
          <c:orientation val="maxMin"/>
        </c:scaling>
        <c:delete val="0"/>
        <c:axPos val="l"/>
        <c:numFmt formatCode="0.0" sourceLinked="0"/>
        <c:majorTickMark val="in"/>
        <c:minorTickMark val="none"/>
        <c:tickLblPos val="nextTo"/>
        <c:crossAx val="122006528"/>
        <c:crosses val="autoZero"/>
        <c:crossBetween val="midCat"/>
        <c:majorUnit val="0.40000000000000002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55" b="0.75000000000000155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u. Vel XS-2</a:t>
            </a:r>
          </a:p>
        </c:rich>
      </c:tx>
      <c:layout>
        <c:manualLayout>
          <c:xMode val="edge"/>
          <c:yMode val="edge"/>
          <c:x val="0.14541666666666681"/>
          <c:y val="0.68444444444444463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23"/>
          <c:w val="0.82705489938757804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'All_XS_(m)'!$F$25:$F$33</c:f>
              <c:numCache>
                <c:formatCode>0.000</c:formatCode>
                <c:ptCount val="9"/>
                <c:pt idx="0">
                  <c:v>1.771132164219791</c:v>
                </c:pt>
                <c:pt idx="1">
                  <c:v>3.2779133302404699</c:v>
                </c:pt>
                <c:pt idx="2">
                  <c:v>5.8734683827832219</c:v>
                </c:pt>
                <c:pt idx="3">
                  <c:v>7.6071624500295023</c:v>
                </c:pt>
                <c:pt idx="4">
                  <c:v>9.699727842406757</c:v>
                </c:pt>
                <c:pt idx="5">
                  <c:v>11.792533584736923</c:v>
                </c:pt>
                <c:pt idx="6">
                  <c:v>13.94980413569964</c:v>
                </c:pt>
                <c:pt idx="7">
                  <c:v>15.949011709342518</c:v>
                </c:pt>
                <c:pt idx="8">
                  <c:v>17.977513989266292</c:v>
                </c:pt>
              </c:numCache>
            </c:numRef>
          </c:xVal>
          <c:yVal>
            <c:numRef>
              <c:f>'All_XS_(m)'!$G$25:$G$33</c:f>
              <c:numCache>
                <c:formatCode>0.000</c:formatCode>
                <c:ptCount val="9"/>
                <c:pt idx="0">
                  <c:v>0.25908000000000003</c:v>
                </c:pt>
                <c:pt idx="1">
                  <c:v>0.420624</c:v>
                </c:pt>
                <c:pt idx="2">
                  <c:v>0.36880800000000002</c:v>
                </c:pt>
                <c:pt idx="3">
                  <c:v>0.454152</c:v>
                </c:pt>
                <c:pt idx="4">
                  <c:v>0.38100000000000001</c:v>
                </c:pt>
                <c:pt idx="5">
                  <c:v>0.33832800000000007</c:v>
                </c:pt>
                <c:pt idx="6">
                  <c:v>0.18897600000000001</c:v>
                </c:pt>
                <c:pt idx="7">
                  <c:v>0.140208</c:v>
                </c:pt>
                <c:pt idx="8">
                  <c:v>6.0960000000000007E-2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'All_XS_(m)'!$F$25:$F$33</c:f>
              <c:numCache>
                <c:formatCode>0.000</c:formatCode>
                <c:ptCount val="9"/>
                <c:pt idx="0">
                  <c:v>1.771132164219791</c:v>
                </c:pt>
                <c:pt idx="1">
                  <c:v>3.2779133302404699</c:v>
                </c:pt>
                <c:pt idx="2">
                  <c:v>5.8734683827832219</c:v>
                </c:pt>
                <c:pt idx="3">
                  <c:v>7.6071624500295023</c:v>
                </c:pt>
                <c:pt idx="4">
                  <c:v>9.699727842406757</c:v>
                </c:pt>
                <c:pt idx="5">
                  <c:v>11.792533584736923</c:v>
                </c:pt>
                <c:pt idx="6">
                  <c:v>13.94980413569964</c:v>
                </c:pt>
                <c:pt idx="7">
                  <c:v>15.949011709342518</c:v>
                </c:pt>
                <c:pt idx="8">
                  <c:v>17.977513989266292</c:v>
                </c:pt>
              </c:numCache>
            </c:numRef>
          </c:xVal>
          <c:yVal>
            <c:numRef>
              <c:f>'All_XS_(m)'!$H$25:$H$33</c:f>
              <c:numCache>
                <c:formatCode>0.000</c:formatCode>
                <c:ptCount val="9"/>
                <c:pt idx="0">
                  <c:v>0.24122329200000001</c:v>
                </c:pt>
                <c:pt idx="1">
                  <c:v>0.29488028399999999</c:v>
                </c:pt>
                <c:pt idx="2">
                  <c:v>0.36471758400000004</c:v>
                </c:pt>
                <c:pt idx="3">
                  <c:v>0.40277887440000004</c:v>
                </c:pt>
                <c:pt idx="4">
                  <c:v>0.42237934320000003</c:v>
                </c:pt>
                <c:pt idx="5">
                  <c:v>0.40689397920000003</c:v>
                </c:pt>
                <c:pt idx="6">
                  <c:v>0.3655676712</c:v>
                </c:pt>
                <c:pt idx="7">
                  <c:v>0.31489741440000002</c:v>
                </c:pt>
                <c:pt idx="8">
                  <c:v>0.25849112640000005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16704"/>
        <c:axId val="123018240"/>
      </c:scatterChart>
      <c:valAx>
        <c:axId val="123016704"/>
        <c:scaling>
          <c:orientation val="minMax"/>
        </c:scaling>
        <c:delete val="0"/>
        <c:axPos val="b"/>
        <c:numFmt formatCode="0" sourceLinked="0"/>
        <c:majorTickMark val="in"/>
        <c:minorTickMark val="none"/>
        <c:tickLblPos val="none"/>
        <c:crossAx val="123018240"/>
        <c:crosses val="autoZero"/>
        <c:crossBetween val="midCat"/>
      </c:valAx>
      <c:valAx>
        <c:axId val="123018240"/>
        <c:scaling>
          <c:orientation val="minMax"/>
        </c:scaling>
        <c:delete val="0"/>
        <c:axPos val="l"/>
        <c:numFmt formatCode="0.0" sourceLinked="0"/>
        <c:majorTickMark val="in"/>
        <c:minorTickMark val="none"/>
        <c:tickLblPos val="nextTo"/>
        <c:crossAx val="123016704"/>
        <c:crosses val="autoZero"/>
        <c:crossBetween val="midCat"/>
        <c:majorUnit val="0.20000000000000001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55" b="0.7500000000000015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x. Depth XS-2</a:t>
            </a:r>
          </a:p>
        </c:rich>
      </c:tx>
      <c:layout>
        <c:manualLayout>
          <c:xMode val="edge"/>
          <c:yMode val="edge"/>
          <c:x val="0.58986111111111106"/>
          <c:y val="0.053333333333333406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23"/>
          <c:w val="0.82705489938757804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'All_XS_(m)'!$L$25:$L$33</c:f>
              <c:numCache>
                <c:formatCode>0.000</c:formatCode>
                <c:ptCount val="9"/>
                <c:pt idx="0">
                  <c:v>1.771132164219791</c:v>
                </c:pt>
                <c:pt idx="1">
                  <c:v>3.2779133302404699</c:v>
                </c:pt>
                <c:pt idx="2">
                  <c:v>5.8734683827832219</c:v>
                </c:pt>
                <c:pt idx="3">
                  <c:v>7.6071624500295023</c:v>
                </c:pt>
                <c:pt idx="4">
                  <c:v>9.699727842406757</c:v>
                </c:pt>
                <c:pt idx="5">
                  <c:v>11.792533584736923</c:v>
                </c:pt>
                <c:pt idx="6">
                  <c:v>13.94980413569964</c:v>
                </c:pt>
                <c:pt idx="7">
                  <c:v>15.949011709342518</c:v>
                </c:pt>
                <c:pt idx="8">
                  <c:v>17.977513989266292</c:v>
                </c:pt>
              </c:numCache>
            </c:numRef>
          </c:xVal>
          <c:yVal>
            <c:numRef>
              <c:f>'All_XS_(m)'!$M$25:$M$33</c:f>
              <c:numCache>
                <c:formatCode>0.000</c:formatCode>
                <c:ptCount val="9"/>
                <c:pt idx="0">
                  <c:v>0.1799978112</c:v>
                </c:pt>
                <c:pt idx="1">
                  <c:v>0.32004000000000005</c:v>
                </c:pt>
                <c:pt idx="2">
                  <c:v>0.42999477120000001</c:v>
                </c:pt>
                <c:pt idx="3">
                  <c:v>0.42671999999999999</c:v>
                </c:pt>
                <c:pt idx="4">
                  <c:v>0.349995744</c:v>
                </c:pt>
                <c:pt idx="5">
                  <c:v>0.33528000000000002</c:v>
                </c:pt>
                <c:pt idx="6">
                  <c:v>0.28999647359999997</c:v>
                </c:pt>
                <c:pt idx="7">
                  <c:v>0.19812000000000002</c:v>
                </c:pt>
                <c:pt idx="8">
                  <c:v>0.14999817600000001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'All_XS_(m)'!$L$25:$L$33</c:f>
              <c:numCache>
                <c:formatCode>0.000</c:formatCode>
                <c:ptCount val="9"/>
                <c:pt idx="0">
                  <c:v>1.771132164219791</c:v>
                </c:pt>
                <c:pt idx="1">
                  <c:v>3.2779133302404699</c:v>
                </c:pt>
                <c:pt idx="2">
                  <c:v>5.8734683827832219</c:v>
                </c:pt>
                <c:pt idx="3">
                  <c:v>7.6071624500295023</c:v>
                </c:pt>
                <c:pt idx="4">
                  <c:v>9.699727842406757</c:v>
                </c:pt>
                <c:pt idx="5">
                  <c:v>11.792533584736923</c:v>
                </c:pt>
                <c:pt idx="6">
                  <c:v>13.94980413569964</c:v>
                </c:pt>
                <c:pt idx="7">
                  <c:v>15.949011709342518</c:v>
                </c:pt>
                <c:pt idx="8">
                  <c:v>17.977513989266292</c:v>
                </c:pt>
              </c:numCache>
            </c:numRef>
          </c:xVal>
          <c:yVal>
            <c:numRef>
              <c:f>'All_XS_(m)'!$N$25:$N$33</c:f>
              <c:numCache>
                <c:formatCode>0.000</c:formatCode>
                <c:ptCount val="9"/>
                <c:pt idx="0">
                  <c:v>0.19304508000000001</c:v>
                </c:pt>
                <c:pt idx="1">
                  <c:v>0.2679758928</c:v>
                </c:pt>
                <c:pt idx="2">
                  <c:v>0.37205107199999998</c:v>
                </c:pt>
                <c:pt idx="3">
                  <c:v>0.44189050560000004</c:v>
                </c:pt>
                <c:pt idx="4">
                  <c:v>0.50703205680000007</c:v>
                </c:pt>
                <c:pt idx="5">
                  <c:v>0.57647128800000003</c:v>
                </c:pt>
                <c:pt idx="6">
                  <c:v>0.56311159920000009</c:v>
                </c:pt>
                <c:pt idx="7">
                  <c:v>0.48345364320000001</c:v>
                </c:pt>
                <c:pt idx="8">
                  <c:v>0.38578170239999998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57120"/>
        <c:axId val="122758656"/>
      </c:scatterChart>
      <c:valAx>
        <c:axId val="122757120"/>
        <c:scaling>
          <c:orientation val="minMax"/>
        </c:scaling>
        <c:delete val="0"/>
        <c:axPos val="b"/>
        <c:numFmt formatCode="0" sourceLinked="0"/>
        <c:majorTickMark val="in"/>
        <c:minorTickMark val="none"/>
        <c:tickLblPos val="nextTo"/>
        <c:crossAx val="122758656"/>
        <c:crosses val="max"/>
        <c:crossBetween val="midCat"/>
      </c:valAx>
      <c:valAx>
        <c:axId val="122758656"/>
        <c:scaling>
          <c:orientation val="maxMin"/>
        </c:scaling>
        <c:delete val="0"/>
        <c:axPos val="l"/>
        <c:numFmt formatCode="0.0" sourceLinked="0"/>
        <c:majorTickMark val="in"/>
        <c:minorTickMark val="none"/>
        <c:tickLblPos val="nextTo"/>
        <c:crossAx val="12275712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55" b="0.75000000000000155" header="0.30000000000000032" footer="0.30000000000000032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c. Vel XS-4</a:t>
            </a:r>
          </a:p>
        </c:rich>
      </c:tx>
      <c:layout>
        <c:manualLayout>
          <c:xMode val="edge"/>
          <c:yMode val="edge"/>
          <c:x val="0.16972222222222241"/>
          <c:y val="0.06666666666666668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23"/>
          <c:w val="0.82705489938757804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'All_XS_(m)'!$F$40:$F$54</c:f>
              <c:numCache>
                <c:formatCode>0.000</c:formatCode>
                <c:ptCount val="15"/>
                <c:pt idx="0">
                  <c:v>2.3426927605221648</c:v>
                </c:pt>
                <c:pt idx="1">
                  <c:v>4.4680823060158907</c:v>
                </c:pt>
                <c:pt idx="2">
                  <c:v>6.5569623667037122</c:v>
                </c:pt>
                <c:pt idx="3">
                  <c:v>9.0836370030342621</c:v>
                </c:pt>
                <c:pt idx="4">
                  <c:v>11.926322220323081</c:v>
                </c:pt>
                <c:pt idx="5">
                  <c:v>14.362202375055725</c:v>
                </c:pt>
                <c:pt idx="6">
                  <c:v>16.57575495537629</c:v>
                </c:pt>
                <c:pt idx="7">
                  <c:v>18.825616082136261</c:v>
                </c:pt>
                <c:pt idx="8">
                  <c:v>21.65245064911743</c:v>
                </c:pt>
                <c:pt idx="9">
                  <c:v>23.58211352343827</c:v>
                </c:pt>
                <c:pt idx="10">
                  <c:v>26.139376877157812</c:v>
                </c:pt>
                <c:pt idx="11">
                  <c:v>27.870477737027993</c:v>
                </c:pt>
                <c:pt idx="12">
                  <c:v>30.255079908804703</c:v>
                </c:pt>
                <c:pt idx="13">
                  <c:v>32.522772653823203</c:v>
                </c:pt>
                <c:pt idx="14">
                  <c:v>34.646867192480308</c:v>
                </c:pt>
              </c:numCache>
            </c:numRef>
          </c:xVal>
          <c:yVal>
            <c:numRef>
              <c:f>'All_XS_(m)'!$G$40:$G$54</c:f>
              <c:numCache>
                <c:formatCode>0.000</c:formatCode>
                <c:ptCount val="15"/>
                <c:pt idx="0">
                  <c:v>0.32004000000000005</c:v>
                </c:pt>
                <c:pt idx="1">
                  <c:v>0.55473600000000001</c:v>
                </c:pt>
                <c:pt idx="2">
                  <c:v>0.73152000000000006</c:v>
                </c:pt>
                <c:pt idx="3">
                  <c:v>0.55473600000000001</c:v>
                </c:pt>
                <c:pt idx="4">
                  <c:v>0.85039200000000004</c:v>
                </c:pt>
                <c:pt idx="5">
                  <c:v>1.1155680000000001</c:v>
                </c:pt>
                <c:pt idx="6">
                  <c:v>1.2710160000000001</c:v>
                </c:pt>
                <c:pt idx="7">
                  <c:v>1.3807440000000002</c:v>
                </c:pt>
                <c:pt idx="8">
                  <c:v>1.6184879999999999</c:v>
                </c:pt>
                <c:pt idx="9">
                  <c:v>1.3807440000000002</c:v>
                </c:pt>
                <c:pt idx="10">
                  <c:v>1.3197840000000001</c:v>
                </c:pt>
                <c:pt idx="11">
                  <c:v>1.2161520000000001</c:v>
                </c:pt>
                <c:pt idx="12">
                  <c:v>1.3594079999999999</c:v>
                </c:pt>
                <c:pt idx="13">
                  <c:v>1.018032</c:v>
                </c:pt>
                <c:pt idx="14">
                  <c:v>0.25908000000000003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'All_XS_(m)'!$F$40:$F$54</c:f>
              <c:numCache>
                <c:formatCode>0.000</c:formatCode>
                <c:ptCount val="15"/>
                <c:pt idx="0">
                  <c:v>2.3426927605221648</c:v>
                </c:pt>
                <c:pt idx="1">
                  <c:v>4.4680823060158907</c:v>
                </c:pt>
                <c:pt idx="2">
                  <c:v>6.5569623667037122</c:v>
                </c:pt>
                <c:pt idx="3">
                  <c:v>9.0836370030342621</c:v>
                </c:pt>
                <c:pt idx="4">
                  <c:v>11.926322220323081</c:v>
                </c:pt>
                <c:pt idx="5">
                  <c:v>14.362202375055725</c:v>
                </c:pt>
                <c:pt idx="6">
                  <c:v>16.57575495537629</c:v>
                </c:pt>
                <c:pt idx="7">
                  <c:v>18.825616082136261</c:v>
                </c:pt>
                <c:pt idx="8">
                  <c:v>21.65245064911743</c:v>
                </c:pt>
                <c:pt idx="9">
                  <c:v>23.58211352343827</c:v>
                </c:pt>
                <c:pt idx="10">
                  <c:v>26.139376877157812</c:v>
                </c:pt>
                <c:pt idx="11">
                  <c:v>27.870477737027993</c:v>
                </c:pt>
                <c:pt idx="12">
                  <c:v>30.255079908804703</c:v>
                </c:pt>
                <c:pt idx="13">
                  <c:v>32.522772653823203</c:v>
                </c:pt>
                <c:pt idx="14">
                  <c:v>34.646867192480308</c:v>
                </c:pt>
              </c:numCache>
            </c:numRef>
          </c:xVal>
          <c:yVal>
            <c:numRef>
              <c:f>'All_XS_(m)'!$H$40:$H$54</c:f>
              <c:numCache>
                <c:formatCode>0.000</c:formatCode>
                <c:ptCount val="15"/>
                <c:pt idx="0">
                  <c:v>0.58782813599999995</c:v>
                </c:pt>
                <c:pt idx="1">
                  <c:v>0.74216117760000011</c:v>
                </c:pt>
                <c:pt idx="2">
                  <c:v>0.86559908159999999</c:v>
                </c:pt>
                <c:pt idx="3">
                  <c:v>0.96611175840000008</c:v>
                </c:pt>
                <c:pt idx="4">
                  <c:v>1.0301346936</c:v>
                </c:pt>
                <c:pt idx="5">
                  <c:v>1.0343333136000001</c:v>
                </c:pt>
                <c:pt idx="6">
                  <c:v>1.0287057911999999</c:v>
                </c:pt>
                <c:pt idx="7">
                  <c:v>1.0398224568000001</c:v>
                </c:pt>
                <c:pt idx="8">
                  <c:v>1.0185340056000001</c:v>
                </c:pt>
                <c:pt idx="9">
                  <c:v>0.97051307040000012</c:v>
                </c:pt>
                <c:pt idx="10">
                  <c:v>0.88611608399999997</c:v>
                </c:pt>
                <c:pt idx="11">
                  <c:v>0.82167801119999995</c:v>
                </c:pt>
                <c:pt idx="12">
                  <c:v>0.72333307199999997</c:v>
                </c:pt>
                <c:pt idx="13">
                  <c:v>0.61776102000000011</c:v>
                </c:pt>
                <c:pt idx="14">
                  <c:v>0.51334903679999999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88096"/>
        <c:axId val="123027456"/>
      </c:scatterChart>
      <c:valAx>
        <c:axId val="122788096"/>
        <c:scaling>
          <c:orientation val="minMax"/>
        </c:scaling>
        <c:delete val="0"/>
        <c:axPos val="b"/>
        <c:numFmt formatCode="0" sourceLinked="0"/>
        <c:majorTickMark val="in"/>
        <c:minorTickMark val="none"/>
        <c:tickLblPos val="none"/>
        <c:crossAx val="123027456"/>
        <c:crosses val="autoZero"/>
        <c:crossBetween val="midCat"/>
      </c:valAx>
      <c:valAx>
        <c:axId val="123027456"/>
        <c:scaling>
          <c:orientation val="minMax"/>
          <c:max val="1.8"/>
        </c:scaling>
        <c:delete val="0"/>
        <c:axPos val="l"/>
        <c:numFmt formatCode="0.0" sourceLinked="0"/>
        <c:majorTickMark val="in"/>
        <c:minorTickMark val="none"/>
        <c:tickLblPos val="nextTo"/>
        <c:crossAx val="122788096"/>
        <c:crosses val="autoZero"/>
        <c:crossBetween val="midCat"/>
        <c:majorUnit val="0.60000000000000064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55" b="0.75000000000000155" header="0.30000000000000032" footer="0.30000000000000032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f. Depth XS-4</a:t>
            </a:r>
          </a:p>
        </c:rich>
      </c:tx>
      <c:layout>
        <c:manualLayout>
          <c:xMode val="edge"/>
          <c:yMode val="edge"/>
          <c:x val="0.18361111111111136"/>
          <c:y val="0.64888888888889018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51"/>
          <c:w val="0.82705489938757826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'All_XS_(m)'!$L$40:$L$54</c:f>
              <c:numCache>
                <c:formatCode>0.000</c:formatCode>
                <c:ptCount val="15"/>
                <c:pt idx="0">
                  <c:v>2.3426927605221648</c:v>
                </c:pt>
                <c:pt idx="1">
                  <c:v>4.4680823060158907</c:v>
                </c:pt>
                <c:pt idx="2">
                  <c:v>6.5569623667037122</c:v>
                </c:pt>
                <c:pt idx="3">
                  <c:v>9.0836370030342621</c:v>
                </c:pt>
                <c:pt idx="4">
                  <c:v>11.926322220323081</c:v>
                </c:pt>
                <c:pt idx="5">
                  <c:v>14.362202375055725</c:v>
                </c:pt>
                <c:pt idx="6">
                  <c:v>16.57575495537629</c:v>
                </c:pt>
                <c:pt idx="7">
                  <c:v>18.825616082136261</c:v>
                </c:pt>
                <c:pt idx="8">
                  <c:v>21.65245064911743</c:v>
                </c:pt>
                <c:pt idx="9">
                  <c:v>23.58211352343827</c:v>
                </c:pt>
                <c:pt idx="10">
                  <c:v>26.139376877157812</c:v>
                </c:pt>
                <c:pt idx="11">
                  <c:v>27.870477737027993</c:v>
                </c:pt>
                <c:pt idx="12">
                  <c:v>30.255079908804703</c:v>
                </c:pt>
                <c:pt idx="13">
                  <c:v>32.522772653823203</c:v>
                </c:pt>
                <c:pt idx="14">
                  <c:v>34.646867192480308</c:v>
                </c:pt>
              </c:numCache>
            </c:numRef>
          </c:xVal>
          <c:yVal>
            <c:numRef>
              <c:f>'All_XS_(m)'!$M$40:$M$54</c:f>
              <c:numCache>
                <c:formatCode>0.000</c:formatCode>
                <c:ptCount val="15"/>
                <c:pt idx="0">
                  <c:v>0.12999841920000002</c:v>
                </c:pt>
                <c:pt idx="1">
                  <c:v>0.28955999999999998</c:v>
                </c:pt>
                <c:pt idx="2">
                  <c:v>0.28999647359999997</c:v>
                </c:pt>
                <c:pt idx="3">
                  <c:v>0.32004000000000005</c:v>
                </c:pt>
                <c:pt idx="4">
                  <c:v>0.39999513600000008</c:v>
                </c:pt>
                <c:pt idx="5">
                  <c:v>0.47244000000000003</c:v>
                </c:pt>
                <c:pt idx="6">
                  <c:v>0.47999416319999999</c:v>
                </c:pt>
                <c:pt idx="7">
                  <c:v>0.57911999999999997</c:v>
                </c:pt>
                <c:pt idx="8">
                  <c:v>0.61999246080000003</c:v>
                </c:pt>
                <c:pt idx="9">
                  <c:v>0.73152000000000006</c:v>
                </c:pt>
                <c:pt idx="10">
                  <c:v>0.61999246080000003</c:v>
                </c:pt>
                <c:pt idx="11">
                  <c:v>0.57911999999999997</c:v>
                </c:pt>
                <c:pt idx="12">
                  <c:v>0.52999355520000002</c:v>
                </c:pt>
                <c:pt idx="13">
                  <c:v>0.45720000000000005</c:v>
                </c:pt>
                <c:pt idx="14">
                  <c:v>0.25999683840000004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'All_XS_(m)'!$L$40:$L$54</c:f>
              <c:numCache>
                <c:formatCode>0.000</c:formatCode>
                <c:ptCount val="15"/>
                <c:pt idx="0">
                  <c:v>2.3426927605221648</c:v>
                </c:pt>
                <c:pt idx="1">
                  <c:v>4.4680823060158907</c:v>
                </c:pt>
                <c:pt idx="2">
                  <c:v>6.5569623667037122</c:v>
                </c:pt>
                <c:pt idx="3">
                  <c:v>9.0836370030342621</c:v>
                </c:pt>
                <c:pt idx="4">
                  <c:v>11.926322220323081</c:v>
                </c:pt>
                <c:pt idx="5">
                  <c:v>14.362202375055725</c:v>
                </c:pt>
                <c:pt idx="6">
                  <c:v>16.57575495537629</c:v>
                </c:pt>
                <c:pt idx="7">
                  <c:v>18.825616082136261</c:v>
                </c:pt>
                <c:pt idx="8">
                  <c:v>21.65245064911743</c:v>
                </c:pt>
                <c:pt idx="9">
                  <c:v>23.58211352343827</c:v>
                </c:pt>
                <c:pt idx="10">
                  <c:v>26.139376877157812</c:v>
                </c:pt>
                <c:pt idx="11">
                  <c:v>27.870477737027993</c:v>
                </c:pt>
                <c:pt idx="12">
                  <c:v>30.255079908804703</c:v>
                </c:pt>
                <c:pt idx="13">
                  <c:v>32.522772653823203</c:v>
                </c:pt>
                <c:pt idx="14">
                  <c:v>34.646867192480308</c:v>
                </c:pt>
              </c:numCache>
            </c:numRef>
          </c:xVal>
          <c:yVal>
            <c:numRef>
              <c:f>'All_XS_(m)'!$N$40:$N$54</c:f>
              <c:numCache>
                <c:formatCode>0.000</c:formatCode>
                <c:ptCount val="15"/>
                <c:pt idx="0">
                  <c:v>0.21656222880000001</c:v>
                </c:pt>
                <c:pt idx="1">
                  <c:v>0.29773930800000004</c:v>
                </c:pt>
                <c:pt idx="2">
                  <c:v>0.37557577920000002</c:v>
                </c:pt>
                <c:pt idx="3">
                  <c:v>0.48762025920000002</c:v>
                </c:pt>
                <c:pt idx="4">
                  <c:v>0.59146226639999999</c:v>
                </c:pt>
                <c:pt idx="5">
                  <c:v>0.60503653440000005</c:v>
                </c:pt>
                <c:pt idx="6">
                  <c:v>0.59233795680000001</c:v>
                </c:pt>
                <c:pt idx="7">
                  <c:v>0.71582859120000009</c:v>
                </c:pt>
                <c:pt idx="8">
                  <c:v>0.76565180880000006</c:v>
                </c:pt>
                <c:pt idx="9">
                  <c:v>0.70001526240000012</c:v>
                </c:pt>
                <c:pt idx="10">
                  <c:v>0.61068935520000001</c:v>
                </c:pt>
                <c:pt idx="11">
                  <c:v>0.54780789600000002</c:v>
                </c:pt>
                <c:pt idx="12">
                  <c:v>0.45996392640000006</c:v>
                </c:pt>
                <c:pt idx="13">
                  <c:v>0.37730033760000004</c:v>
                </c:pt>
                <c:pt idx="14">
                  <c:v>0.30079035599999998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69888"/>
        <c:axId val="123271424"/>
      </c:scatterChart>
      <c:valAx>
        <c:axId val="123269888"/>
        <c:scaling>
          <c:orientation val="minMax"/>
        </c:scaling>
        <c:delete val="0"/>
        <c:axPos val="b"/>
        <c:numFmt formatCode="0" sourceLinked="0"/>
        <c:majorTickMark val="in"/>
        <c:minorTickMark val="none"/>
        <c:tickLblPos val="none"/>
        <c:crossAx val="123271424"/>
        <c:crosses val="max"/>
        <c:crossBetween val="midCat"/>
      </c:valAx>
      <c:valAx>
        <c:axId val="123271424"/>
        <c:scaling>
          <c:orientation val="maxMin"/>
        </c:scaling>
        <c:delete val="0"/>
        <c:axPos val="l"/>
        <c:numFmt formatCode="0.0" sourceLinked="0"/>
        <c:majorTickMark val="in"/>
        <c:minorTickMark val="none"/>
        <c:tickLblPos val="nextTo"/>
        <c:crossAx val="123269888"/>
        <c:crosses val="autoZero"/>
        <c:crossBetween val="midCat"/>
        <c:majorUnit val="0.30000000000000032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78" b="0.75000000000000178" header="0.30000000000000032" footer="0.30000000000000032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g. Vel XS-5</a:t>
            </a:r>
          </a:p>
        </c:rich>
      </c:tx>
      <c:layout>
        <c:manualLayout>
          <c:xMode val="edge"/>
          <c:yMode val="edge"/>
          <c:x val="0.16972222222222241"/>
          <c:y val="0.06666666666666668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23"/>
          <c:w val="0.82705489938757804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'All_XS_(m)'!$F$56:$F$69</c:f>
              <c:numCache>
                <c:formatCode>0.000</c:formatCode>
                <c:ptCount val="14"/>
                <c:pt idx="0">
                  <c:v>5.2844152434742995</c:v>
                </c:pt>
                <c:pt idx="1">
                  <c:v>9.0437912105337883</c:v>
                </c:pt>
                <c:pt idx="2">
                  <c:v>12.873427337027142</c:v>
                </c:pt>
                <c:pt idx="3">
                  <c:v>16.087260391056432</c:v>
                </c:pt>
                <c:pt idx="4">
                  <c:v>20.267343343188806</c:v>
                </c:pt>
                <c:pt idx="5">
                  <c:v>24.658491244649934</c:v>
                </c:pt>
                <c:pt idx="6">
                  <c:v>28.10523681419447</c:v>
                </c:pt>
                <c:pt idx="7">
                  <c:v>31.831021176661434</c:v>
                </c:pt>
                <c:pt idx="8">
                  <c:v>35.50617127680048</c:v>
                </c:pt>
                <c:pt idx="9">
                  <c:v>39.504744709022745</c:v>
                </c:pt>
                <c:pt idx="10">
                  <c:v>44.155868869942672</c:v>
                </c:pt>
                <c:pt idx="11">
                  <c:v>47.734331157064545</c:v>
                </c:pt>
                <c:pt idx="12">
                  <c:v>51.831837503032254</c:v>
                </c:pt>
                <c:pt idx="13">
                  <c:v>55.336332522396447</c:v>
                </c:pt>
              </c:numCache>
            </c:numRef>
          </c:xVal>
          <c:yVal>
            <c:numRef>
              <c:f>'All_XS_(m)'!$G$56:$G$69</c:f>
              <c:numCache>
                <c:formatCode>0.000</c:formatCode>
                <c:ptCount val="14"/>
                <c:pt idx="0">
                  <c:v>0</c:v>
                </c:pt>
                <c:pt idx="1">
                  <c:v>0.17068800000000003</c:v>
                </c:pt>
                <c:pt idx="2">
                  <c:v>0.33832800000000007</c:v>
                </c:pt>
                <c:pt idx="3">
                  <c:v>0.56997600000000004</c:v>
                </c:pt>
                <c:pt idx="4">
                  <c:v>0.77114399999999994</c:v>
                </c:pt>
                <c:pt idx="5">
                  <c:v>0.95097600000000004</c:v>
                </c:pt>
                <c:pt idx="6">
                  <c:v>0.95097600000000004</c:v>
                </c:pt>
                <c:pt idx="7">
                  <c:v>1.109472</c:v>
                </c:pt>
                <c:pt idx="8">
                  <c:v>0.78638400000000008</c:v>
                </c:pt>
                <c:pt idx="9">
                  <c:v>1.1490960000000001</c:v>
                </c:pt>
                <c:pt idx="10">
                  <c:v>0.73761600000000005</c:v>
                </c:pt>
                <c:pt idx="11">
                  <c:v>0.67970399999999997</c:v>
                </c:pt>
                <c:pt idx="12">
                  <c:v>0.521208</c:v>
                </c:pt>
                <c:pt idx="13">
                  <c:v>0.29870400000000003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'All_XS_(m)'!$F$56:$F$69</c:f>
              <c:numCache>
                <c:formatCode>0.000</c:formatCode>
                <c:ptCount val="14"/>
                <c:pt idx="0">
                  <c:v>5.2844152434742995</c:v>
                </c:pt>
                <c:pt idx="1">
                  <c:v>9.0437912105337883</c:v>
                </c:pt>
                <c:pt idx="2">
                  <c:v>12.873427337027142</c:v>
                </c:pt>
                <c:pt idx="3">
                  <c:v>16.087260391056432</c:v>
                </c:pt>
                <c:pt idx="4">
                  <c:v>20.267343343188806</c:v>
                </c:pt>
                <c:pt idx="5">
                  <c:v>24.658491244649934</c:v>
                </c:pt>
                <c:pt idx="6">
                  <c:v>28.10523681419447</c:v>
                </c:pt>
                <c:pt idx="7">
                  <c:v>31.831021176661434</c:v>
                </c:pt>
                <c:pt idx="8">
                  <c:v>35.50617127680048</c:v>
                </c:pt>
                <c:pt idx="9">
                  <c:v>39.504744709022745</c:v>
                </c:pt>
                <c:pt idx="10">
                  <c:v>44.155868869942672</c:v>
                </c:pt>
                <c:pt idx="11">
                  <c:v>47.734331157064545</c:v>
                </c:pt>
                <c:pt idx="12">
                  <c:v>51.831837503032254</c:v>
                </c:pt>
                <c:pt idx="13">
                  <c:v>55.336332522396447</c:v>
                </c:pt>
              </c:numCache>
            </c:numRef>
          </c:xVal>
          <c:yVal>
            <c:numRef>
              <c:f>'All_XS_(m)'!$H$56:$H$69</c:f>
              <c:numCache>
                <c:formatCode>0.000</c:formatCode>
                <c:ptCount val="14"/>
                <c:pt idx="0">
                  <c:v>0.20395600560000002</c:v>
                </c:pt>
                <c:pt idx="1">
                  <c:v>0.31536589199999998</c:v>
                </c:pt>
                <c:pt idx="2">
                  <c:v>0.43839810720000005</c:v>
                </c:pt>
                <c:pt idx="3">
                  <c:v>0.54560724000000005</c:v>
                </c:pt>
                <c:pt idx="4">
                  <c:v>0.69467394719999997</c:v>
                </c:pt>
                <c:pt idx="5">
                  <c:v>0.9028334496</c:v>
                </c:pt>
                <c:pt idx="6">
                  <c:v>1.0115467704000001</c:v>
                </c:pt>
                <c:pt idx="7">
                  <c:v>1.0394399327999999</c:v>
                </c:pt>
                <c:pt idx="8">
                  <c:v>1.0233958703999999</c:v>
                </c:pt>
                <c:pt idx="9">
                  <c:v>1.0507035120000001</c:v>
                </c:pt>
                <c:pt idx="10">
                  <c:v>1.0369780632000001</c:v>
                </c:pt>
                <c:pt idx="11">
                  <c:v>0.91093869120000004</c:v>
                </c:pt>
                <c:pt idx="12">
                  <c:v>0.69095660640000001</c:v>
                </c:pt>
                <c:pt idx="13">
                  <c:v>0.2557558512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239424"/>
        <c:axId val="123310848"/>
      </c:scatterChart>
      <c:valAx>
        <c:axId val="123239424"/>
        <c:scaling>
          <c:orientation val="minMax"/>
        </c:scaling>
        <c:delete val="0"/>
        <c:axPos val="b"/>
        <c:numFmt formatCode="0" sourceLinked="0"/>
        <c:majorTickMark val="in"/>
        <c:minorTickMark val="none"/>
        <c:tickLblPos val="none"/>
        <c:crossAx val="123310848"/>
        <c:crosses val="autoZero"/>
        <c:crossBetween val="midCat"/>
      </c:valAx>
      <c:valAx>
        <c:axId val="123310848"/>
        <c:scaling>
          <c:orientation val="minMax"/>
          <c:max val="1.2"/>
        </c:scaling>
        <c:delete val="0"/>
        <c:axPos val="l"/>
        <c:numFmt formatCode="0.0" sourceLinked="0"/>
        <c:majorTickMark val="in"/>
        <c:minorTickMark val="none"/>
        <c:tickLblPos val="nextTo"/>
        <c:crossAx val="123239424"/>
        <c:crosses val="autoZero"/>
        <c:crossBetween val="midCat"/>
        <c:majorUnit val="0.40000000000000002"/>
      </c:valAx>
      <c:spPr>
        <a:ln>
          <a:solidFill>
            <a:sysClr val="window" lastClr="ffffff">
              <a:lumMod val="65000"/>
            </a:sysClr>
          </a:solidFill>
          <a:round/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55" b="0.75000000000000155" header="0.30000000000000032" footer="0.30000000000000032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j. Depth XS-5</a:t>
            </a:r>
          </a:p>
        </c:rich>
      </c:tx>
      <c:layout>
        <c:manualLayout>
          <c:xMode val="edge"/>
          <c:yMode val="edge"/>
          <c:x val="0.18361111111111136"/>
          <c:y val="0.64888888888889018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51"/>
          <c:w val="0.82705489938757826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  <a:beve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'All_XS_(m)'!$L$56:$L$69</c:f>
              <c:numCache>
                <c:formatCode>0.000</c:formatCode>
                <c:ptCount val="14"/>
                <c:pt idx="0">
                  <c:v>5.2844152434742995</c:v>
                </c:pt>
                <c:pt idx="1">
                  <c:v>9.0437912105337883</c:v>
                </c:pt>
                <c:pt idx="2">
                  <c:v>12.873427337027142</c:v>
                </c:pt>
                <c:pt idx="3">
                  <c:v>16.087260391056432</c:v>
                </c:pt>
                <c:pt idx="4">
                  <c:v>20.267343343188806</c:v>
                </c:pt>
                <c:pt idx="5">
                  <c:v>24.658491244649934</c:v>
                </c:pt>
                <c:pt idx="6">
                  <c:v>28.10523681419447</c:v>
                </c:pt>
                <c:pt idx="7">
                  <c:v>31.831021176661434</c:v>
                </c:pt>
                <c:pt idx="8">
                  <c:v>35.50617127680048</c:v>
                </c:pt>
                <c:pt idx="9">
                  <c:v>39.504744709022745</c:v>
                </c:pt>
                <c:pt idx="10">
                  <c:v>44.155868869942672</c:v>
                </c:pt>
                <c:pt idx="11">
                  <c:v>47.734331157064545</c:v>
                </c:pt>
                <c:pt idx="12">
                  <c:v>51.831837503032254</c:v>
                </c:pt>
                <c:pt idx="13">
                  <c:v>55.336332522396447</c:v>
                </c:pt>
              </c:numCache>
            </c:numRef>
          </c:xVal>
          <c:yVal>
            <c:numRef>
              <c:f>'All_XS_(m)'!$M$56:$M$69</c:f>
              <c:numCache>
                <c:formatCode>0.000</c:formatCode>
                <c:ptCount val="14"/>
                <c:pt idx="0">
                  <c:v>0.1199985408</c:v>
                </c:pt>
                <c:pt idx="1">
                  <c:v>0.12999841920000002</c:v>
                </c:pt>
                <c:pt idx="2">
                  <c:v>0.25908000000000003</c:v>
                </c:pt>
                <c:pt idx="3">
                  <c:v>0.37999537920000004</c:v>
                </c:pt>
                <c:pt idx="4">
                  <c:v>0.50292000000000003</c:v>
                </c:pt>
                <c:pt idx="5">
                  <c:v>0.64999209600000007</c:v>
                </c:pt>
                <c:pt idx="6">
                  <c:v>0.65532000000000001</c:v>
                </c:pt>
                <c:pt idx="7">
                  <c:v>0.67999173120000023</c:v>
                </c:pt>
                <c:pt idx="8">
                  <c:v>0.73152000000000006</c:v>
                </c:pt>
                <c:pt idx="9">
                  <c:v>0.699991488</c:v>
                </c:pt>
                <c:pt idx="10">
                  <c:v>0.77723999999999993</c:v>
                </c:pt>
                <c:pt idx="11">
                  <c:v>0.64999209600000007</c:v>
                </c:pt>
                <c:pt idx="12">
                  <c:v>0.53339999999999999</c:v>
                </c:pt>
                <c:pt idx="13">
                  <c:v>0.38999525760000009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'All_XS_(m)'!$L$56:$L$69</c:f>
              <c:numCache>
                <c:formatCode>0.000</c:formatCode>
                <c:ptCount val="14"/>
                <c:pt idx="0">
                  <c:v>5.2844152434742995</c:v>
                </c:pt>
                <c:pt idx="1">
                  <c:v>9.0437912105337883</c:v>
                </c:pt>
                <c:pt idx="2">
                  <c:v>12.873427337027142</c:v>
                </c:pt>
                <c:pt idx="3">
                  <c:v>16.087260391056432</c:v>
                </c:pt>
                <c:pt idx="4">
                  <c:v>20.267343343188806</c:v>
                </c:pt>
                <c:pt idx="5">
                  <c:v>24.658491244649934</c:v>
                </c:pt>
                <c:pt idx="6">
                  <c:v>28.10523681419447</c:v>
                </c:pt>
                <c:pt idx="7">
                  <c:v>31.831021176661434</c:v>
                </c:pt>
                <c:pt idx="8">
                  <c:v>35.50617127680048</c:v>
                </c:pt>
                <c:pt idx="9">
                  <c:v>39.504744709022745</c:v>
                </c:pt>
                <c:pt idx="10">
                  <c:v>44.155868869942672</c:v>
                </c:pt>
                <c:pt idx="11">
                  <c:v>47.734331157064545</c:v>
                </c:pt>
                <c:pt idx="12">
                  <c:v>51.831837503032254</c:v>
                </c:pt>
                <c:pt idx="13">
                  <c:v>55.336332522396447</c:v>
                </c:pt>
              </c:numCache>
            </c:numRef>
          </c:xVal>
          <c:yVal>
            <c:numRef>
              <c:f>'All_XS_(m)'!$N$56:$N$69</c:f>
              <c:numCache>
                <c:formatCode>0.000</c:formatCode>
                <c:ptCount val="14"/>
                <c:pt idx="0">
                  <c:v>0.17132046000000001</c:v>
                </c:pt>
                <c:pt idx="1">
                  <c:v>0.32658222720000002</c:v>
                </c:pt>
                <c:pt idx="2">
                  <c:v>0.41347918320000004</c:v>
                </c:pt>
                <c:pt idx="3">
                  <c:v>0.42173712960000004</c:v>
                </c:pt>
                <c:pt idx="4">
                  <c:v>0.38110180320000003</c:v>
                </c:pt>
                <c:pt idx="5">
                  <c:v>0.7295714136</c:v>
                </c:pt>
                <c:pt idx="6">
                  <c:v>0.6625212048000001</c:v>
                </c:pt>
                <c:pt idx="7">
                  <c:v>0.91316556000000004</c:v>
                </c:pt>
                <c:pt idx="8">
                  <c:v>0.70808209919999998</c:v>
                </c:pt>
                <c:pt idx="9">
                  <c:v>0.66836269680000004</c:v>
                </c:pt>
                <c:pt idx="10">
                  <c:v>0.62168349119999999</c:v>
                </c:pt>
                <c:pt idx="11">
                  <c:v>0.57208277760000004</c:v>
                </c:pt>
                <c:pt idx="12">
                  <c:v>0.45349454640000003</c:v>
                </c:pt>
                <c:pt idx="13">
                  <c:v>0.10041575040000002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91840"/>
        <c:axId val="123493376"/>
      </c:scatterChart>
      <c:valAx>
        <c:axId val="123491840"/>
        <c:scaling>
          <c:orientation val="minMax"/>
        </c:scaling>
        <c:delete val="0"/>
        <c:axPos val="b"/>
        <c:numFmt formatCode="0" sourceLinked="0"/>
        <c:majorTickMark val="in"/>
        <c:minorTickMark val="none"/>
        <c:tickLblPos val="none"/>
        <c:crossAx val="123493376"/>
        <c:crosses val="max"/>
        <c:crossBetween val="midCat"/>
      </c:valAx>
      <c:valAx>
        <c:axId val="123493376"/>
        <c:scaling>
          <c:orientation val="maxMin"/>
        </c:scaling>
        <c:delete val="0"/>
        <c:axPos val="l"/>
        <c:numFmt formatCode="0.0" sourceLinked="0"/>
        <c:majorTickMark val="in"/>
        <c:minorTickMark val="none"/>
        <c:tickLblPos val="nextTo"/>
        <c:crossAx val="123491840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78" b="0.75000000000000178" header="0.30000000000000032" footer="0.30000000000000032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aa. Vel XS-7</a:t>
            </a:r>
          </a:p>
        </c:rich>
      </c:tx>
      <c:layout>
        <c:manualLayout>
          <c:xMode val="edge"/>
          <c:yMode val="edge"/>
          <c:x val="0.16972222222222233"/>
          <c:y val="0.68888888888888933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23"/>
          <c:w val="0.82705489938757804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'All_XS_(m)'!$F$78:$F$93</c:f>
              <c:numCache>
                <c:formatCode>0.000</c:formatCode>
                <c:ptCount val="16"/>
                <c:pt idx="0">
                  <c:v>2.407030610648393</c:v>
                </c:pt>
                <c:pt idx="1">
                  <c:v>5.1359532852499274</c:v>
                </c:pt>
                <c:pt idx="2">
                  <c:v>8.3742496580448709</c:v>
                </c:pt>
                <c:pt idx="3">
                  <c:v>11.528600177053738</c:v>
                </c:pt>
                <c:pt idx="4">
                  <c:v>15.613400550002098</c:v>
                </c:pt>
                <c:pt idx="5">
                  <c:v>19.352306315844658</c:v>
                </c:pt>
                <c:pt idx="6">
                  <c:v>22.853321643752519</c:v>
                </c:pt>
                <c:pt idx="7">
                  <c:v>26.608943919256891</c:v>
                </c:pt>
                <c:pt idx="8">
                  <c:v>31.144484727062302</c:v>
                </c:pt>
                <c:pt idx="9">
                  <c:v>35.181222705867924</c:v>
                </c:pt>
                <c:pt idx="10">
                  <c:v>38.516058574937063</c:v>
                </c:pt>
                <c:pt idx="11">
                  <c:v>42.302466542619726</c:v>
                </c:pt>
                <c:pt idx="12">
                  <c:v>47.067856817921815</c:v>
                </c:pt>
                <c:pt idx="13">
                  <c:v>51.102277595897462</c:v>
                </c:pt>
                <c:pt idx="14">
                  <c:v>54.973828682786795</c:v>
                </c:pt>
                <c:pt idx="15">
                  <c:v>58.315306278539438</c:v>
                </c:pt>
              </c:numCache>
            </c:numRef>
          </c:xVal>
          <c:yVal>
            <c:numRef>
              <c:f>'All_XS_(m)'!$G$78:$G$93</c:f>
              <c:numCache>
                <c:formatCode>0.000</c:formatCode>
                <c:ptCount val="16"/>
                <c:pt idx="0">
                  <c:v>0.280416</c:v>
                </c:pt>
                <c:pt idx="1">
                  <c:v>0.32918400000000003</c:v>
                </c:pt>
                <c:pt idx="2">
                  <c:v>0.47244000000000003</c:v>
                </c:pt>
                <c:pt idx="3">
                  <c:v>0.50901600000000002</c:v>
                </c:pt>
                <c:pt idx="4">
                  <c:v>0.47244000000000003</c:v>
                </c:pt>
                <c:pt idx="5">
                  <c:v>0.78028800000000009</c:v>
                </c:pt>
                <c:pt idx="6">
                  <c:v>0.95097600000000004</c:v>
                </c:pt>
                <c:pt idx="7">
                  <c:v>1.008888</c:v>
                </c:pt>
                <c:pt idx="8">
                  <c:v>1.1826240000000001</c:v>
                </c:pt>
                <c:pt idx="9">
                  <c:v>1.0911840000000002</c:v>
                </c:pt>
                <c:pt idx="10">
                  <c:v>1.0850880000000001</c:v>
                </c:pt>
                <c:pt idx="11">
                  <c:v>0.841248</c:v>
                </c:pt>
                <c:pt idx="12">
                  <c:v>0.43891200000000002</c:v>
                </c:pt>
                <c:pt idx="13">
                  <c:v>0.11887200000000001</c:v>
                </c:pt>
                <c:pt idx="14">
                  <c:v>5.4864000000000003E-2</c:v>
                </c:pt>
                <c:pt idx="15">
                  <c:v>3.0480000000000004E-2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'All_XS_(m)'!$F$78:$F$93</c:f>
              <c:numCache>
                <c:formatCode>0.000</c:formatCode>
                <c:ptCount val="16"/>
                <c:pt idx="0">
                  <c:v>2.407030610648393</c:v>
                </c:pt>
                <c:pt idx="1">
                  <c:v>5.1359532852499274</c:v>
                </c:pt>
                <c:pt idx="2">
                  <c:v>8.3742496580448709</c:v>
                </c:pt>
                <c:pt idx="3">
                  <c:v>11.528600177053738</c:v>
                </c:pt>
                <c:pt idx="4">
                  <c:v>15.613400550002098</c:v>
                </c:pt>
                <c:pt idx="5">
                  <c:v>19.352306315844658</c:v>
                </c:pt>
                <c:pt idx="6">
                  <c:v>22.853321643752519</c:v>
                </c:pt>
                <c:pt idx="7">
                  <c:v>26.608943919256891</c:v>
                </c:pt>
                <c:pt idx="8">
                  <c:v>31.144484727062302</c:v>
                </c:pt>
                <c:pt idx="9">
                  <c:v>35.181222705867924</c:v>
                </c:pt>
                <c:pt idx="10">
                  <c:v>38.516058574937063</c:v>
                </c:pt>
                <c:pt idx="11">
                  <c:v>42.302466542619726</c:v>
                </c:pt>
                <c:pt idx="12">
                  <c:v>47.067856817921815</c:v>
                </c:pt>
                <c:pt idx="13">
                  <c:v>51.102277595897462</c:v>
                </c:pt>
                <c:pt idx="14">
                  <c:v>54.973828682786795</c:v>
                </c:pt>
                <c:pt idx="15">
                  <c:v>58.315306278539438</c:v>
                </c:pt>
              </c:numCache>
            </c:numRef>
          </c:xVal>
          <c:yVal>
            <c:numRef>
              <c:f>'All_XS_(m)'!$H$78:$H$93</c:f>
              <c:numCache>
                <c:formatCode>0.000</c:formatCode>
                <c:ptCount val="16"/>
                <c:pt idx="0">
                  <c:v>0.12961040880000002</c:v>
                </c:pt>
                <c:pt idx="1">
                  <c:v>0.33172511760000006</c:v>
                </c:pt>
                <c:pt idx="2">
                  <c:v>0.70645294320000007</c:v>
                </c:pt>
                <c:pt idx="3">
                  <c:v>0.812732436</c:v>
                </c:pt>
                <c:pt idx="4">
                  <c:v>0.84631621440000004</c:v>
                </c:pt>
                <c:pt idx="5">
                  <c:v>0.81955325040000004</c:v>
                </c:pt>
                <c:pt idx="6">
                  <c:v>0.829523868</c:v>
                </c:pt>
                <c:pt idx="7">
                  <c:v>0.92537737200000003</c:v>
                </c:pt>
                <c:pt idx="8">
                  <c:v>1.0223808863999999</c:v>
                </c:pt>
                <c:pt idx="9">
                  <c:v>1.0197370512000001</c:v>
                </c:pt>
                <c:pt idx="10">
                  <c:v>0.90126860640000006</c:v>
                </c:pt>
                <c:pt idx="11">
                  <c:v>0.77819493839999998</c:v>
                </c:pt>
                <c:pt idx="12">
                  <c:v>0.65543887199999995</c:v>
                </c:pt>
                <c:pt idx="13">
                  <c:v>0.53004171360000008</c:v>
                </c:pt>
                <c:pt idx="14">
                  <c:v>9.8045016000000013E-2</c:v>
                </c:pt>
                <c:pt idx="15">
                  <c:v>4.8929239200000002E-2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30624"/>
        <c:axId val="123352192"/>
      </c:scatterChart>
      <c:valAx>
        <c:axId val="123530624"/>
        <c:scaling>
          <c:orientation val="minMax"/>
          <c:max val="60"/>
          <c:min val="0"/>
        </c:scaling>
        <c:delete val="0"/>
        <c:axPos val="b"/>
        <c:numFmt formatCode="0" sourceLinked="0"/>
        <c:majorTickMark val="in"/>
        <c:minorTickMark val="none"/>
        <c:tickLblPos val="none"/>
        <c:crossAx val="123352192"/>
        <c:crosses val="max"/>
        <c:crossBetween val="midCat"/>
        <c:majorUnit val="20"/>
      </c:valAx>
      <c:valAx>
        <c:axId val="123352192"/>
        <c:scaling>
          <c:orientation val="maxMin"/>
        </c:scaling>
        <c:delete val="0"/>
        <c:axPos val="l"/>
        <c:numFmt formatCode="0.0" sourceLinked="0"/>
        <c:majorTickMark val="in"/>
        <c:minorTickMark val="none"/>
        <c:tickLblPos val="nextTo"/>
        <c:crossAx val="12353062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55" b="0.75000000000000155" header="0.30000000000000032" footer="0.30000000000000032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dd. Depth XS-7</a:t>
            </a:r>
          </a:p>
        </c:rich>
      </c:tx>
      <c:layout>
        <c:manualLayout>
          <c:xMode val="edge"/>
          <c:yMode val="edge"/>
          <c:x val="0.44055555555555553"/>
          <c:y val="0.062222222222222276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23"/>
          <c:w val="0.82705489938757804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'All_XS_(m)'!$L$78:$L$93</c:f>
              <c:numCache>
                <c:formatCode>0.000</c:formatCode>
                <c:ptCount val="16"/>
                <c:pt idx="0">
                  <c:v>2.407030610648393</c:v>
                </c:pt>
                <c:pt idx="1">
                  <c:v>5.1359532852499274</c:v>
                </c:pt>
                <c:pt idx="2">
                  <c:v>8.3742496580448709</c:v>
                </c:pt>
                <c:pt idx="3">
                  <c:v>11.528600177053738</c:v>
                </c:pt>
                <c:pt idx="4">
                  <c:v>15.613400550002098</c:v>
                </c:pt>
                <c:pt idx="5">
                  <c:v>19.352306315844658</c:v>
                </c:pt>
                <c:pt idx="6">
                  <c:v>22.853321643752519</c:v>
                </c:pt>
                <c:pt idx="7">
                  <c:v>26.608943919256891</c:v>
                </c:pt>
                <c:pt idx="8">
                  <c:v>31.144484727062302</c:v>
                </c:pt>
                <c:pt idx="9">
                  <c:v>35.181222705867924</c:v>
                </c:pt>
                <c:pt idx="10">
                  <c:v>38.516058574937063</c:v>
                </c:pt>
                <c:pt idx="11">
                  <c:v>42.302466542619726</c:v>
                </c:pt>
                <c:pt idx="12">
                  <c:v>47.067856817921815</c:v>
                </c:pt>
                <c:pt idx="13">
                  <c:v>51.102277595897462</c:v>
                </c:pt>
                <c:pt idx="14">
                  <c:v>54.973828682786795</c:v>
                </c:pt>
                <c:pt idx="15">
                  <c:v>58.315306278539438</c:v>
                </c:pt>
              </c:numCache>
            </c:numRef>
          </c:xVal>
          <c:yVal>
            <c:numRef>
              <c:f>'All_XS_(m)'!$M$78:$M$93</c:f>
              <c:numCache>
                <c:formatCode>0.000</c:formatCode>
                <c:ptCount val="16"/>
                <c:pt idx="0">
                  <c:v>0.13999829760000002</c:v>
                </c:pt>
                <c:pt idx="1">
                  <c:v>0.28999647359999997</c:v>
                </c:pt>
                <c:pt idx="2">
                  <c:v>0.33528000000000002</c:v>
                </c:pt>
                <c:pt idx="3">
                  <c:v>0.50999379840000003</c:v>
                </c:pt>
                <c:pt idx="4">
                  <c:v>0.57911999999999997</c:v>
                </c:pt>
                <c:pt idx="5">
                  <c:v>0.60999258240000009</c:v>
                </c:pt>
                <c:pt idx="6">
                  <c:v>0.65532000000000001</c:v>
                </c:pt>
                <c:pt idx="7">
                  <c:v>0.66999185280000018</c:v>
                </c:pt>
                <c:pt idx="8">
                  <c:v>0.74676000000000009</c:v>
                </c:pt>
                <c:pt idx="9">
                  <c:v>0.65999197440000013</c:v>
                </c:pt>
                <c:pt idx="10">
                  <c:v>0.59436</c:v>
                </c:pt>
                <c:pt idx="11">
                  <c:v>0.46999428480000005</c:v>
                </c:pt>
                <c:pt idx="12">
                  <c:v>0.41148000000000007</c:v>
                </c:pt>
                <c:pt idx="13">
                  <c:v>0.26999671680000004</c:v>
                </c:pt>
                <c:pt idx="14">
                  <c:v>0.32004000000000005</c:v>
                </c:pt>
                <c:pt idx="15">
                  <c:v>0.42999477120000001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'All_XS_(m)'!$L$78:$L$93</c:f>
              <c:numCache>
                <c:formatCode>0.000</c:formatCode>
                <c:ptCount val="16"/>
                <c:pt idx="0">
                  <c:v>2.407030610648393</c:v>
                </c:pt>
                <c:pt idx="1">
                  <c:v>5.1359532852499274</c:v>
                </c:pt>
                <c:pt idx="2">
                  <c:v>8.3742496580448709</c:v>
                </c:pt>
                <c:pt idx="3">
                  <c:v>11.528600177053738</c:v>
                </c:pt>
                <c:pt idx="4">
                  <c:v>15.613400550002098</c:v>
                </c:pt>
                <c:pt idx="5">
                  <c:v>19.352306315844658</c:v>
                </c:pt>
                <c:pt idx="6">
                  <c:v>22.853321643752519</c:v>
                </c:pt>
                <c:pt idx="7">
                  <c:v>26.608943919256891</c:v>
                </c:pt>
                <c:pt idx="8">
                  <c:v>31.144484727062302</c:v>
                </c:pt>
                <c:pt idx="9">
                  <c:v>35.181222705867924</c:v>
                </c:pt>
                <c:pt idx="10">
                  <c:v>38.516058574937063</c:v>
                </c:pt>
                <c:pt idx="11">
                  <c:v>42.302466542619726</c:v>
                </c:pt>
                <c:pt idx="12">
                  <c:v>47.067856817921815</c:v>
                </c:pt>
                <c:pt idx="13">
                  <c:v>51.102277595897462</c:v>
                </c:pt>
                <c:pt idx="14">
                  <c:v>54.973828682786795</c:v>
                </c:pt>
                <c:pt idx="15">
                  <c:v>58.315306278539438</c:v>
                </c:pt>
              </c:numCache>
            </c:numRef>
          </c:xVal>
          <c:yVal>
            <c:numRef>
              <c:f>'All_XS_(m)'!$N$78:$N$93</c:f>
              <c:numCache>
                <c:formatCode>0.000</c:formatCode>
                <c:ptCount val="16"/>
                <c:pt idx="0">
                  <c:v>0</c:v>
                </c:pt>
                <c:pt idx="1">
                  <c:v>0.13148553840000002</c:v>
                </c:pt>
                <c:pt idx="2">
                  <c:v>0.4004648328</c:v>
                </c:pt>
                <c:pt idx="3">
                  <c:v>0.49965041040000002</c:v>
                </c:pt>
                <c:pt idx="4">
                  <c:v>0.66496996799999997</c:v>
                </c:pt>
                <c:pt idx="5">
                  <c:v>0.60479909519999997</c:v>
                </c:pt>
                <c:pt idx="6">
                  <c:v>0.60255576720000004</c:v>
                </c:pt>
                <c:pt idx="7">
                  <c:v>0.64614552000000003</c:v>
                </c:pt>
                <c:pt idx="8">
                  <c:v>0.71142758400000006</c:v>
                </c:pt>
                <c:pt idx="9">
                  <c:v>0.75948265680000016</c:v>
                </c:pt>
                <c:pt idx="10">
                  <c:v>0.62065814400000008</c:v>
                </c:pt>
                <c:pt idx="11">
                  <c:v>0.60258807600000008</c:v>
                </c:pt>
                <c:pt idx="12">
                  <c:v>0.52570166640000004</c:v>
                </c:pt>
                <c:pt idx="13">
                  <c:v>0.38755259040000001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85728"/>
        <c:axId val="123387264"/>
      </c:scatterChart>
      <c:valAx>
        <c:axId val="123385728"/>
        <c:scaling>
          <c:orientation val="minMax"/>
          <c:max val="60"/>
        </c:scaling>
        <c:delete val="0"/>
        <c:axPos val="b"/>
        <c:numFmt formatCode="0" sourceLinked="0"/>
        <c:majorTickMark val="in"/>
        <c:minorTickMark val="none"/>
        <c:tickLblPos val="nextTo"/>
        <c:crossAx val="123387264"/>
        <c:crosses val="max"/>
        <c:crossBetween val="midCat"/>
        <c:majorUnit val="20"/>
      </c:valAx>
      <c:valAx>
        <c:axId val="123387264"/>
        <c:scaling>
          <c:orientation val="maxMin"/>
        </c:scaling>
        <c:delete val="0"/>
        <c:axPos val="l"/>
        <c:numFmt formatCode="0.0" sourceLinked="0"/>
        <c:majorTickMark val="in"/>
        <c:minorTickMark val="none"/>
        <c:tickLblPos val="nextTo"/>
        <c:crossAx val="12338572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55" b="0.75000000000000155" header="0.30000000000000032" footer="0.30000000000000032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i. Vel XS-8</a:t>
            </a:r>
          </a:p>
        </c:rich>
      </c:tx>
      <c:layout>
        <c:manualLayout>
          <c:xMode val="edge"/>
          <c:yMode val="edge"/>
          <c:x val="0.66625000000000056"/>
          <c:y val="0.06666666666666668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23"/>
          <c:w val="0.82705489938757804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'All_XS_(m)'!$F$95:$F$107</c:f>
              <c:numCache>
                <c:formatCode>0.000</c:formatCode>
                <c:ptCount val="13"/>
                <c:pt idx="0">
                  <c:v>1.4373899094844029</c:v>
                </c:pt>
                <c:pt idx="1">
                  <c:v>4.1681772097279728</c:v>
                </c:pt>
                <c:pt idx="2">
                  <c:v>6.4622888873858653</c:v>
                </c:pt>
                <c:pt idx="3">
                  <c:v>9.0502343870260145</c:v>
                </c:pt>
                <c:pt idx="4">
                  <c:v>12.105017554504954</c:v>
                </c:pt>
                <c:pt idx="5">
                  <c:v>15.128571073031104</c:v>
                </c:pt>
                <c:pt idx="6">
                  <c:v>18.03159447420796</c:v>
                </c:pt>
                <c:pt idx="7">
                  <c:v>21.10177937781415</c:v>
                </c:pt>
                <c:pt idx="8">
                  <c:v>23.757481680473909</c:v>
                </c:pt>
                <c:pt idx="9">
                  <c:v>26.631534817805363</c:v>
                </c:pt>
                <c:pt idx="10">
                  <c:v>30.008184673924305</c:v>
                </c:pt>
                <c:pt idx="11">
                  <c:v>34.322851534989212</c:v>
                </c:pt>
                <c:pt idx="12">
                  <c:v>36.104127874008398</c:v>
                </c:pt>
              </c:numCache>
            </c:numRef>
          </c:xVal>
          <c:yVal>
            <c:numRef>
              <c:f>'All_XS_(m)'!$G$95:$G$107</c:f>
              <c:numCache>
                <c:formatCode>0.000</c:formatCode>
                <c:ptCount val="13"/>
                <c:pt idx="0">
                  <c:v>0.22860000000000003</c:v>
                </c:pt>
                <c:pt idx="1">
                  <c:v>1.1826240000000001</c:v>
                </c:pt>
                <c:pt idx="2">
                  <c:v>1.3685520000000002</c:v>
                </c:pt>
                <c:pt idx="3">
                  <c:v>1.231392</c:v>
                </c:pt>
                <c:pt idx="4">
                  <c:v>1.3655040000000003</c:v>
                </c:pt>
                <c:pt idx="5">
                  <c:v>1.0698479999999999</c:v>
                </c:pt>
                <c:pt idx="6">
                  <c:v>0.27127200000000001</c:v>
                </c:pt>
                <c:pt idx="7">
                  <c:v>1.167384</c:v>
                </c:pt>
                <c:pt idx="8">
                  <c:v>1.0393680000000001</c:v>
                </c:pt>
                <c:pt idx="9">
                  <c:v>0.37185600000000002</c:v>
                </c:pt>
                <c:pt idx="10">
                  <c:v>1.1399520000000001</c:v>
                </c:pt>
                <c:pt idx="11">
                  <c:v>0.25603199999999998</c:v>
                </c:pt>
                <c:pt idx="12">
                  <c:v>0.11887200000000001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'All_XS_(m)'!$F$95:$F$107</c:f>
              <c:numCache>
                <c:formatCode>0.000</c:formatCode>
                <c:ptCount val="13"/>
                <c:pt idx="0">
                  <c:v>1.4373899094844029</c:v>
                </c:pt>
                <c:pt idx="1">
                  <c:v>4.1681772097279728</c:v>
                </c:pt>
                <c:pt idx="2">
                  <c:v>6.4622888873858653</c:v>
                </c:pt>
                <c:pt idx="3">
                  <c:v>9.0502343870260145</c:v>
                </c:pt>
                <c:pt idx="4">
                  <c:v>12.105017554504954</c:v>
                </c:pt>
                <c:pt idx="5">
                  <c:v>15.128571073031104</c:v>
                </c:pt>
                <c:pt idx="6">
                  <c:v>18.03159447420796</c:v>
                </c:pt>
                <c:pt idx="7">
                  <c:v>21.10177937781415</c:v>
                </c:pt>
                <c:pt idx="8">
                  <c:v>23.757481680473909</c:v>
                </c:pt>
                <c:pt idx="9">
                  <c:v>26.631534817805363</c:v>
                </c:pt>
                <c:pt idx="10">
                  <c:v>30.008184673924305</c:v>
                </c:pt>
                <c:pt idx="11">
                  <c:v>34.322851534989212</c:v>
                </c:pt>
                <c:pt idx="12">
                  <c:v>36.104127874008398</c:v>
                </c:pt>
              </c:numCache>
            </c:numRef>
          </c:xVal>
          <c:yVal>
            <c:numRef>
              <c:f>'All_XS_(m)'!$H$95:$H$107</c:f>
              <c:numCache>
                <c:formatCode>0.000</c:formatCode>
                <c:ptCount val="13"/>
                <c:pt idx="0">
                  <c:v>0.81122611440000014</c:v>
                </c:pt>
                <c:pt idx="1">
                  <c:v>1.4803337424</c:v>
                </c:pt>
                <c:pt idx="2">
                  <c:v>1.7657652263999999</c:v>
                </c:pt>
                <c:pt idx="3">
                  <c:v>1.9232791608000002</c:v>
                </c:pt>
                <c:pt idx="4">
                  <c:v>1.9782160080000002</c:v>
                </c:pt>
                <c:pt idx="5">
                  <c:v>1.7478195167999999</c:v>
                </c:pt>
                <c:pt idx="6">
                  <c:v>1.0921608840000001</c:v>
                </c:pt>
                <c:pt idx="7">
                  <c:v>0.67377624960000004</c:v>
                </c:pt>
                <c:pt idx="8">
                  <c:v>0.7258083528</c:v>
                </c:pt>
                <c:pt idx="9">
                  <c:v>0.7029462192</c:v>
                </c:pt>
                <c:pt idx="10">
                  <c:v>0.57540570720000006</c:v>
                </c:pt>
                <c:pt idx="11">
                  <c:v>0.48931220400000003</c:v>
                </c:pt>
                <c:pt idx="12">
                  <c:v>0.38105760720000004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84896"/>
        <c:axId val="123586432"/>
      </c:scatterChart>
      <c:valAx>
        <c:axId val="123584896"/>
        <c:scaling>
          <c:orientation val="minMax"/>
        </c:scaling>
        <c:delete val="0"/>
        <c:axPos val="b"/>
        <c:numFmt formatCode="0" sourceLinked="0"/>
        <c:majorTickMark val="in"/>
        <c:minorTickMark val="none"/>
        <c:tickLblPos val="none"/>
        <c:crossAx val="123586432"/>
        <c:crosses val="autoZero"/>
        <c:crossBetween val="midCat"/>
      </c:valAx>
      <c:valAx>
        <c:axId val="123586432"/>
        <c:scaling>
          <c:orientation val="minMax"/>
          <c:max val="2"/>
        </c:scaling>
        <c:delete val="0"/>
        <c:axPos val="l"/>
        <c:numFmt formatCode="0.0" sourceLinked="0"/>
        <c:majorTickMark val="in"/>
        <c:minorTickMark val="none"/>
        <c:tickLblPos val="nextTo"/>
        <c:crossAx val="12358489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55" b="0.75000000000000155" header="0.30000000000000032" footer="0.30000000000000032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l. Depth XS-8</a:t>
            </a:r>
          </a:p>
        </c:rich>
      </c:tx>
      <c:layout>
        <c:manualLayout>
          <c:xMode val="edge"/>
          <c:yMode val="edge"/>
          <c:x val="0.15930555555555556"/>
          <c:y val="0.057777777777777782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51"/>
          <c:w val="0.82705489938757826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'All_XS_(m)'!$L$95:$L$107</c:f>
              <c:numCache>
                <c:formatCode>0.000</c:formatCode>
                <c:ptCount val="13"/>
                <c:pt idx="0">
                  <c:v>1.4373899094844029</c:v>
                </c:pt>
                <c:pt idx="1">
                  <c:v>4.1681772097279728</c:v>
                </c:pt>
                <c:pt idx="2">
                  <c:v>6.4622888873858653</c:v>
                </c:pt>
                <c:pt idx="3">
                  <c:v>9.0502343870260145</c:v>
                </c:pt>
                <c:pt idx="4">
                  <c:v>12.105017554504954</c:v>
                </c:pt>
                <c:pt idx="5">
                  <c:v>15.128571073031104</c:v>
                </c:pt>
                <c:pt idx="6">
                  <c:v>18.03159447420796</c:v>
                </c:pt>
                <c:pt idx="7">
                  <c:v>21.10177937781415</c:v>
                </c:pt>
                <c:pt idx="8">
                  <c:v>23.757481680473909</c:v>
                </c:pt>
                <c:pt idx="9">
                  <c:v>26.631534817805363</c:v>
                </c:pt>
                <c:pt idx="10">
                  <c:v>30.008184673924305</c:v>
                </c:pt>
                <c:pt idx="11">
                  <c:v>34.322851534989212</c:v>
                </c:pt>
                <c:pt idx="12">
                  <c:v>36.104127874008398</c:v>
                </c:pt>
              </c:numCache>
            </c:numRef>
          </c:xVal>
          <c:yVal>
            <c:numRef>
              <c:f>'All_XS_(m)'!$M$95:$M$107</c:f>
              <c:numCache>
                <c:formatCode>0.000</c:formatCode>
                <c:ptCount val="13"/>
                <c:pt idx="0">
                  <c:v>0.27999659520000003</c:v>
                </c:pt>
                <c:pt idx="1">
                  <c:v>0.48768000000000006</c:v>
                </c:pt>
                <c:pt idx="2">
                  <c:v>0.63999221760000014</c:v>
                </c:pt>
                <c:pt idx="3">
                  <c:v>0.45720000000000005</c:v>
                </c:pt>
                <c:pt idx="4">
                  <c:v>0.60960000000000003</c:v>
                </c:pt>
                <c:pt idx="5">
                  <c:v>0.22999720320000003</c:v>
                </c:pt>
                <c:pt idx="6">
                  <c:v>0.27999659520000003</c:v>
                </c:pt>
                <c:pt idx="7">
                  <c:v>0.54864000000000002</c:v>
                </c:pt>
                <c:pt idx="8">
                  <c:v>0.57999294719999994</c:v>
                </c:pt>
                <c:pt idx="9">
                  <c:v>0.73152000000000006</c:v>
                </c:pt>
                <c:pt idx="10">
                  <c:v>0.33999586560000011</c:v>
                </c:pt>
                <c:pt idx="11">
                  <c:v>0.18288000000000001</c:v>
                </c:pt>
                <c:pt idx="12">
                  <c:v>9.9998784000000021E-2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'All_XS_(m)'!$L$95:$L$107</c:f>
              <c:numCache>
                <c:formatCode>0.000</c:formatCode>
                <c:ptCount val="13"/>
                <c:pt idx="0">
                  <c:v>1.4373899094844029</c:v>
                </c:pt>
                <c:pt idx="1">
                  <c:v>4.1681772097279728</c:v>
                </c:pt>
                <c:pt idx="2">
                  <c:v>6.4622888873858653</c:v>
                </c:pt>
                <c:pt idx="3">
                  <c:v>9.0502343870260145</c:v>
                </c:pt>
                <c:pt idx="4">
                  <c:v>12.105017554504954</c:v>
                </c:pt>
                <c:pt idx="5">
                  <c:v>15.128571073031104</c:v>
                </c:pt>
                <c:pt idx="6">
                  <c:v>18.03159447420796</c:v>
                </c:pt>
                <c:pt idx="7">
                  <c:v>21.10177937781415</c:v>
                </c:pt>
                <c:pt idx="8">
                  <c:v>23.757481680473909</c:v>
                </c:pt>
                <c:pt idx="9">
                  <c:v>26.631534817805363</c:v>
                </c:pt>
                <c:pt idx="10">
                  <c:v>30.008184673924305</c:v>
                </c:pt>
                <c:pt idx="11">
                  <c:v>34.322851534989212</c:v>
                </c:pt>
                <c:pt idx="12">
                  <c:v>36.104127874008398</c:v>
                </c:pt>
              </c:numCache>
            </c:numRef>
          </c:xVal>
          <c:yVal>
            <c:numRef>
              <c:f>'All_XS_(m)'!$N$95:$N$107</c:f>
              <c:numCache>
                <c:formatCode>0.000</c:formatCode>
                <c:ptCount val="13"/>
                <c:pt idx="0">
                  <c:v>0.14101541519999999</c:v>
                </c:pt>
                <c:pt idx="1">
                  <c:v>0.47009212560000002</c:v>
                </c:pt>
                <c:pt idx="2">
                  <c:v>0.6753551136</c:v>
                </c:pt>
                <c:pt idx="3">
                  <c:v>0.74114101200000004</c:v>
                </c:pt>
                <c:pt idx="4">
                  <c:v>0.57811629360000005</c:v>
                </c:pt>
                <c:pt idx="5">
                  <c:v>0.30992978399999999</c:v>
                </c:pt>
                <c:pt idx="6">
                  <c:v>0.14971257839999999</c:v>
                </c:pt>
                <c:pt idx="7">
                  <c:v>5.0213666400000002E-2</c:v>
                </c:pt>
                <c:pt idx="8">
                  <c:v>3.8251790399999999E-2</c:v>
                </c:pt>
                <c:pt idx="9">
                  <c:v>3.6435792000000002E-2</c:v>
                </c:pt>
                <c:pt idx="10">
                  <c:v>5.02560336E-2</c:v>
                </c:pt>
                <c:pt idx="11">
                  <c:v>7.9941419999999999E-2</c:v>
                </c:pt>
                <c:pt idx="12">
                  <c:v>8.6206888800000006E-2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97792"/>
        <c:axId val="123711872"/>
      </c:scatterChart>
      <c:valAx>
        <c:axId val="123697792"/>
        <c:scaling>
          <c:orientation val="minMax"/>
        </c:scaling>
        <c:delete val="0"/>
        <c:axPos val="b"/>
        <c:numFmt formatCode="0" sourceLinked="0"/>
        <c:majorTickMark val="in"/>
        <c:minorTickMark val="none"/>
        <c:tickLblPos val="none"/>
        <c:crossAx val="123711872"/>
        <c:crosses val="max"/>
        <c:crossBetween val="midCat"/>
      </c:valAx>
      <c:valAx>
        <c:axId val="123711872"/>
        <c:scaling>
          <c:orientation val="maxMin"/>
        </c:scaling>
        <c:delete val="0"/>
        <c:axPos val="l"/>
        <c:numFmt formatCode="0.0" sourceLinked="0"/>
        <c:majorTickMark val="in"/>
        <c:minorTickMark val="none"/>
        <c:tickLblPos val="nextTo"/>
        <c:crossAx val="123697792"/>
        <c:crosses val="autoZero"/>
        <c:crossBetween val="midCat"/>
        <c:majorUnit val="0.20000000000000001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78" b="0.75000000000000178" header="0.30000000000000032" footer="0.30000000000000032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m. Vel XS-9</a:t>
            </a:r>
          </a:p>
        </c:rich>
      </c:tx>
      <c:layout>
        <c:manualLayout>
          <c:xMode val="edge"/>
          <c:yMode val="edge"/>
          <c:x val="0.6245833333333336"/>
          <c:y val="0.65777777777777846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23"/>
          <c:w val="0.82705489938757804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'All_XS_(m)'!$F$109:$F$124</c:f>
              <c:numCache>
                <c:formatCode>0.000</c:formatCode>
                <c:ptCount val="16"/>
                <c:pt idx="0">
                  <c:v>3.4462369803455877</c:v>
                </c:pt>
                <c:pt idx="1">
                  <c:v>7.078038926838035</c:v>
                </c:pt>
                <c:pt idx="2">
                  <c:v>10.073570605531557</c:v>
                </c:pt>
                <c:pt idx="3">
                  <c:v>13.114609024309525</c:v>
                </c:pt>
                <c:pt idx="4">
                  <c:v>16.736273419879964</c:v>
                </c:pt>
                <c:pt idx="5">
                  <c:v>19.991988152927505</c:v>
                </c:pt>
                <c:pt idx="6">
                  <c:v>23.536813463297388</c:v>
                </c:pt>
                <c:pt idx="7">
                  <c:v>27.033387624936651</c:v>
                </c:pt>
                <c:pt idx="8">
                  <c:v>30.827487008280901</c:v>
                </c:pt>
                <c:pt idx="9">
                  <c:v>34.591216711444865</c:v>
                </c:pt>
                <c:pt idx="10">
                  <c:v>39.245909164192078</c:v>
                </c:pt>
                <c:pt idx="11">
                  <c:v>42.758008413424733</c:v>
                </c:pt>
                <c:pt idx="12">
                  <c:v>46.536198981106956</c:v>
                </c:pt>
                <c:pt idx="13">
                  <c:v>50.288899749948477</c:v>
                </c:pt>
                <c:pt idx="14">
                  <c:v>53.867144172560273</c:v>
                </c:pt>
                <c:pt idx="15">
                  <c:v>58.035607526761538</c:v>
                </c:pt>
              </c:numCache>
            </c:numRef>
          </c:xVal>
          <c:yVal>
            <c:numRef>
              <c:f>'All_XS_(m)'!$G$109:$G$124</c:f>
              <c:numCache>
                <c:formatCode>0.000</c:formatCode>
                <c:ptCount val="16"/>
                <c:pt idx="0">
                  <c:v>0.18897600000000001</c:v>
                </c:pt>
                <c:pt idx="1">
                  <c:v>0.32918400000000003</c:v>
                </c:pt>
                <c:pt idx="2">
                  <c:v>0.27127200000000001</c:v>
                </c:pt>
                <c:pt idx="3">
                  <c:v>0.35052</c:v>
                </c:pt>
                <c:pt idx="4">
                  <c:v>0.32308800000000004</c:v>
                </c:pt>
                <c:pt idx="5">
                  <c:v>0.39014400000000005</c:v>
                </c:pt>
                <c:pt idx="6">
                  <c:v>0.35356799999999999</c:v>
                </c:pt>
                <c:pt idx="7">
                  <c:v>0.38100000000000001</c:v>
                </c:pt>
                <c:pt idx="8">
                  <c:v>0.33832800000000007</c:v>
                </c:pt>
                <c:pt idx="9">
                  <c:v>0.39928800000000003</c:v>
                </c:pt>
                <c:pt idx="10">
                  <c:v>0.43891200000000002</c:v>
                </c:pt>
                <c:pt idx="11">
                  <c:v>0.420624</c:v>
                </c:pt>
                <c:pt idx="12">
                  <c:v>0.43891200000000002</c:v>
                </c:pt>
                <c:pt idx="13">
                  <c:v>0.39014400000000005</c:v>
                </c:pt>
                <c:pt idx="14">
                  <c:v>0.33832800000000007</c:v>
                </c:pt>
                <c:pt idx="15">
                  <c:v>0.25908000000000003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'All_XS_(m)'!$F$109:$F$124</c:f>
              <c:numCache>
                <c:formatCode>0.000</c:formatCode>
                <c:ptCount val="16"/>
                <c:pt idx="0">
                  <c:v>3.4462369803455877</c:v>
                </c:pt>
                <c:pt idx="1">
                  <c:v>7.078038926838035</c:v>
                </c:pt>
                <c:pt idx="2">
                  <c:v>10.073570605531557</c:v>
                </c:pt>
                <c:pt idx="3">
                  <c:v>13.114609024309525</c:v>
                </c:pt>
                <c:pt idx="4">
                  <c:v>16.736273419879964</c:v>
                </c:pt>
                <c:pt idx="5">
                  <c:v>19.991988152927505</c:v>
                </c:pt>
                <c:pt idx="6">
                  <c:v>23.536813463297388</c:v>
                </c:pt>
                <c:pt idx="7">
                  <c:v>27.033387624936651</c:v>
                </c:pt>
                <c:pt idx="8">
                  <c:v>30.827487008280901</c:v>
                </c:pt>
                <c:pt idx="9">
                  <c:v>34.591216711444865</c:v>
                </c:pt>
                <c:pt idx="10">
                  <c:v>39.245909164192078</c:v>
                </c:pt>
                <c:pt idx="11">
                  <c:v>42.758008413424733</c:v>
                </c:pt>
                <c:pt idx="12">
                  <c:v>46.536198981106956</c:v>
                </c:pt>
                <c:pt idx="13">
                  <c:v>50.288899749948477</c:v>
                </c:pt>
                <c:pt idx="14">
                  <c:v>53.867144172560273</c:v>
                </c:pt>
                <c:pt idx="15">
                  <c:v>58.035607526761538</c:v>
                </c:pt>
              </c:numCache>
            </c:numRef>
          </c:xVal>
          <c:yVal>
            <c:numRef>
              <c:f>'All_XS_(m)'!$H$109:$H$124</c:f>
              <c:numCache>
                <c:formatCode>0.000</c:formatCode>
                <c:ptCount val="16"/>
                <c:pt idx="0">
                  <c:v>8.4482025599999996E-2</c:v>
                </c:pt>
                <c:pt idx="1">
                  <c:v>0.19255922880000001</c:v>
                </c:pt>
                <c:pt idx="2">
                  <c:v>0.25970087760000005</c:v>
                </c:pt>
                <c:pt idx="3">
                  <c:v>0.30589849920000001</c:v>
                </c:pt>
                <c:pt idx="4">
                  <c:v>0.33721822320000006</c:v>
                </c:pt>
                <c:pt idx="5">
                  <c:v>0.34810263120000001</c:v>
                </c:pt>
                <c:pt idx="6">
                  <c:v>0.35655961200000003</c:v>
                </c:pt>
                <c:pt idx="7">
                  <c:v>0.36770553840000003</c:v>
                </c:pt>
                <c:pt idx="8">
                  <c:v>0.37443399840000002</c:v>
                </c:pt>
                <c:pt idx="9">
                  <c:v>0.39418930560000004</c:v>
                </c:pt>
                <c:pt idx="10">
                  <c:v>0.40591831440000004</c:v>
                </c:pt>
                <c:pt idx="11">
                  <c:v>0.41191007279999997</c:v>
                </c:pt>
                <c:pt idx="12">
                  <c:v>0.42038717040000007</c:v>
                </c:pt>
                <c:pt idx="13">
                  <c:v>0.4151808816</c:v>
                </c:pt>
                <c:pt idx="14">
                  <c:v>0.39184386960000001</c:v>
                </c:pt>
                <c:pt idx="15">
                  <c:v>0.25771266720000002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749504"/>
        <c:axId val="123751040"/>
      </c:scatterChart>
      <c:valAx>
        <c:axId val="123749504"/>
        <c:scaling>
          <c:orientation val="minMax"/>
          <c:max val="60"/>
        </c:scaling>
        <c:delete val="0"/>
        <c:axPos val="b"/>
        <c:numFmt formatCode="0" sourceLinked="0"/>
        <c:majorTickMark val="in"/>
        <c:minorTickMark val="none"/>
        <c:tickLblPos val="none"/>
        <c:crossAx val="123751040"/>
        <c:crosses val="autoZero"/>
        <c:crossBetween val="midCat"/>
      </c:valAx>
      <c:valAx>
        <c:axId val="123751040"/>
        <c:scaling>
          <c:orientation val="minMax"/>
        </c:scaling>
        <c:delete val="0"/>
        <c:axPos val="l"/>
        <c:numFmt formatCode="0.0" sourceLinked="0"/>
        <c:majorTickMark val="in"/>
        <c:minorTickMark val="none"/>
        <c:tickLblPos val="nextTo"/>
        <c:crossAx val="12374950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55" b="0.75000000000000155" header="0.30000000000000032" footer="0.30000000000000032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p. Depth XS-9</a:t>
            </a:r>
          </a:p>
        </c:rich>
      </c:tx>
      <c:layout>
        <c:manualLayout>
          <c:xMode val="edge"/>
          <c:yMode val="edge"/>
          <c:x val="0.18361111111111136"/>
          <c:y val="0.64888888888889018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51"/>
          <c:w val="0.82705489938757826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'All_XS_(m)'!$L$109:$L$124</c:f>
              <c:numCache>
                <c:formatCode>0.000</c:formatCode>
                <c:ptCount val="16"/>
                <c:pt idx="0">
                  <c:v>3.4462369803455877</c:v>
                </c:pt>
                <c:pt idx="1">
                  <c:v>7.078038926838035</c:v>
                </c:pt>
                <c:pt idx="2">
                  <c:v>10.073570605531557</c:v>
                </c:pt>
                <c:pt idx="3">
                  <c:v>13.114609024309525</c:v>
                </c:pt>
                <c:pt idx="4">
                  <c:v>16.736273419879964</c:v>
                </c:pt>
                <c:pt idx="5">
                  <c:v>19.991988152927505</c:v>
                </c:pt>
                <c:pt idx="6">
                  <c:v>23.536813463297388</c:v>
                </c:pt>
                <c:pt idx="7">
                  <c:v>27.033387624936651</c:v>
                </c:pt>
                <c:pt idx="8">
                  <c:v>30.827487008280901</c:v>
                </c:pt>
                <c:pt idx="9">
                  <c:v>34.591216711444865</c:v>
                </c:pt>
                <c:pt idx="10">
                  <c:v>39.245909164192078</c:v>
                </c:pt>
                <c:pt idx="11">
                  <c:v>42.758008413424733</c:v>
                </c:pt>
                <c:pt idx="12">
                  <c:v>46.536198981106956</c:v>
                </c:pt>
                <c:pt idx="13">
                  <c:v>50.288899749948477</c:v>
                </c:pt>
                <c:pt idx="14">
                  <c:v>53.867144172560273</c:v>
                </c:pt>
                <c:pt idx="15">
                  <c:v>58.035607526761538</c:v>
                </c:pt>
              </c:numCache>
            </c:numRef>
          </c:xVal>
          <c:yVal>
            <c:numRef>
              <c:f>'All_XS_(m)'!$M$109:$M$124</c:f>
              <c:numCache>
                <c:formatCode>0.000</c:formatCode>
                <c:ptCount val="16"/>
                <c:pt idx="0">
                  <c:v>0.24999696000000002</c:v>
                </c:pt>
                <c:pt idx="1">
                  <c:v>0.44999452800000006</c:v>
                </c:pt>
                <c:pt idx="2">
                  <c:v>0.45720000000000005</c:v>
                </c:pt>
                <c:pt idx="3">
                  <c:v>0.55999319040000006</c:v>
                </c:pt>
                <c:pt idx="4">
                  <c:v>0.67056000000000004</c:v>
                </c:pt>
                <c:pt idx="5">
                  <c:v>0.70999136640000005</c:v>
                </c:pt>
                <c:pt idx="6">
                  <c:v>0.73152000000000006</c:v>
                </c:pt>
                <c:pt idx="7">
                  <c:v>0.699991488</c:v>
                </c:pt>
                <c:pt idx="8">
                  <c:v>0.70104</c:v>
                </c:pt>
                <c:pt idx="9">
                  <c:v>0.74999088000000014</c:v>
                </c:pt>
                <c:pt idx="10">
                  <c:v>0.82296000000000014</c:v>
                </c:pt>
                <c:pt idx="11">
                  <c:v>0.85998954240000003</c:v>
                </c:pt>
                <c:pt idx="12">
                  <c:v>0.73152000000000006</c:v>
                </c:pt>
                <c:pt idx="13">
                  <c:v>0.65999197440000013</c:v>
                </c:pt>
                <c:pt idx="14">
                  <c:v>0.48768000000000006</c:v>
                </c:pt>
                <c:pt idx="15">
                  <c:v>0.28999647359999997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'All_XS_(m)'!$L$109:$L$124</c:f>
              <c:numCache>
                <c:formatCode>0.000</c:formatCode>
                <c:ptCount val="16"/>
                <c:pt idx="0">
                  <c:v>3.4462369803455877</c:v>
                </c:pt>
                <c:pt idx="1">
                  <c:v>7.078038926838035</c:v>
                </c:pt>
                <c:pt idx="2">
                  <c:v>10.073570605531557</c:v>
                </c:pt>
                <c:pt idx="3">
                  <c:v>13.114609024309525</c:v>
                </c:pt>
                <c:pt idx="4">
                  <c:v>16.736273419879964</c:v>
                </c:pt>
                <c:pt idx="5">
                  <c:v>19.991988152927505</c:v>
                </c:pt>
                <c:pt idx="6">
                  <c:v>23.536813463297388</c:v>
                </c:pt>
                <c:pt idx="7">
                  <c:v>27.033387624936651</c:v>
                </c:pt>
                <c:pt idx="8">
                  <c:v>30.827487008280901</c:v>
                </c:pt>
                <c:pt idx="9">
                  <c:v>34.591216711444865</c:v>
                </c:pt>
                <c:pt idx="10">
                  <c:v>39.245909164192078</c:v>
                </c:pt>
                <c:pt idx="11">
                  <c:v>42.758008413424733</c:v>
                </c:pt>
                <c:pt idx="12">
                  <c:v>46.536198981106956</c:v>
                </c:pt>
                <c:pt idx="13">
                  <c:v>50.288899749948477</c:v>
                </c:pt>
                <c:pt idx="14">
                  <c:v>53.867144172560273</c:v>
                </c:pt>
                <c:pt idx="15">
                  <c:v>58.035607526761538</c:v>
                </c:pt>
              </c:numCache>
            </c:numRef>
          </c:xVal>
          <c:yVal>
            <c:numRef>
              <c:f>'All_XS_(m)'!$N$109:$N$124</c:f>
              <c:numCache>
                <c:formatCode>0.000</c:formatCode>
                <c:ptCount val="16"/>
                <c:pt idx="0">
                  <c:v>9.2164204799999996E-2</c:v>
                </c:pt>
                <c:pt idx="1">
                  <c:v>0.29921362560000003</c:v>
                </c:pt>
                <c:pt idx="2">
                  <c:v>0.46216854479999997</c:v>
                </c:pt>
                <c:pt idx="3">
                  <c:v>0.6109191744000001</c:v>
                </c:pt>
                <c:pt idx="4">
                  <c:v>0.66323900880000008</c:v>
                </c:pt>
                <c:pt idx="5">
                  <c:v>0.7063218792</c:v>
                </c:pt>
                <c:pt idx="6">
                  <c:v>0.75412305359999998</c:v>
                </c:pt>
                <c:pt idx="7">
                  <c:v>0.79610010959999999</c:v>
                </c:pt>
                <c:pt idx="8">
                  <c:v>0.82044509520000009</c:v>
                </c:pt>
                <c:pt idx="9">
                  <c:v>0.95629902720000004</c:v>
                </c:pt>
                <c:pt idx="10">
                  <c:v>0.8628077232000001</c:v>
                </c:pt>
                <c:pt idx="11">
                  <c:v>0.89719068720000006</c:v>
                </c:pt>
                <c:pt idx="12">
                  <c:v>0.97278230639999996</c:v>
                </c:pt>
                <c:pt idx="13">
                  <c:v>1.0208937672</c:v>
                </c:pt>
                <c:pt idx="14">
                  <c:v>0.87763319520000005</c:v>
                </c:pt>
                <c:pt idx="15">
                  <c:v>0.32711349360000003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00896"/>
        <c:axId val="123602048"/>
      </c:scatterChart>
      <c:valAx>
        <c:axId val="123600896"/>
        <c:scaling>
          <c:orientation val="minMax"/>
          <c:max val="60"/>
        </c:scaling>
        <c:delete val="0"/>
        <c:axPos val="b"/>
        <c:numFmt formatCode="0" sourceLinked="0"/>
        <c:majorTickMark val="in"/>
        <c:minorTickMark val="none"/>
        <c:tickLblPos val="nextTo"/>
        <c:crossAx val="123602048"/>
        <c:crosses val="max"/>
        <c:crossBetween val="midCat"/>
      </c:valAx>
      <c:valAx>
        <c:axId val="123602048"/>
        <c:scaling>
          <c:orientation val="maxMin"/>
        </c:scaling>
        <c:delete val="0"/>
        <c:axPos val="l"/>
        <c:numFmt formatCode="0.0" sourceLinked="0"/>
        <c:majorTickMark val="in"/>
        <c:minorTickMark val="none"/>
        <c:tickLblPos val="nextTo"/>
        <c:crossAx val="123600896"/>
        <c:crosses val="autoZero"/>
        <c:crossBetween val="midCat"/>
        <c:majorUnit val="0.40000000000000002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78" b="0.75000000000000178" header="0.30000000000000032" footer="0.30000000000000032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z. Vel XS-10</a:t>
            </a:r>
          </a:p>
        </c:rich>
      </c:tx>
      <c:layout>
        <c:manualLayout>
          <c:xMode val="edge"/>
          <c:yMode val="edge"/>
          <c:x val="0.15583333333333349"/>
          <c:y val="0.68444444444444463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23"/>
          <c:w val="0.82705489938757804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'All_XS_(m)'!$F$126:$F$136</c:f>
              <c:numCache>
                <c:formatCode>0.000</c:formatCode>
                <c:ptCount val="11"/>
                <c:pt idx="0">
                  <c:v>2.5033668595146294</c:v>
                </c:pt>
                <c:pt idx="1">
                  <c:v>5.8000837160367826</c:v>
                </c:pt>
                <c:pt idx="2">
                  <c:v>9.3357292681690538</c:v>
                </c:pt>
                <c:pt idx="3">
                  <c:v>12.843454554142463</c:v>
                </c:pt>
                <c:pt idx="4">
                  <c:v>15.458648856167848</c:v>
                </c:pt>
                <c:pt idx="5">
                  <c:v>18.431519324072799</c:v>
                </c:pt>
                <c:pt idx="6">
                  <c:v>21.30631950235864</c:v>
                </c:pt>
                <c:pt idx="7">
                  <c:v>24.976177436360842</c:v>
                </c:pt>
                <c:pt idx="8">
                  <c:v>28.359313353508806</c:v>
                </c:pt>
                <c:pt idx="9">
                  <c:v>31.723231825067771</c:v>
                </c:pt>
                <c:pt idx="10">
                  <c:v>35.090169247941766</c:v>
                </c:pt>
              </c:numCache>
            </c:numRef>
          </c:xVal>
          <c:yVal>
            <c:numRef>
              <c:f>'All_XS_(m)'!$G$126:$G$136</c:f>
              <c:numCache>
                <c:formatCode>0.000</c:formatCode>
                <c:ptCount val="11"/>
                <c:pt idx="0">
                  <c:v>0.27127200000000001</c:v>
                </c:pt>
                <c:pt idx="1">
                  <c:v>0.50596799999999997</c:v>
                </c:pt>
                <c:pt idx="2">
                  <c:v>0.74980800000000003</c:v>
                </c:pt>
                <c:pt idx="3">
                  <c:v>0.801624</c:v>
                </c:pt>
                <c:pt idx="4">
                  <c:v>1.389888</c:v>
                </c:pt>
                <c:pt idx="5">
                  <c:v>1.4203680000000001</c:v>
                </c:pt>
                <c:pt idx="6">
                  <c:v>1.612392</c:v>
                </c:pt>
                <c:pt idx="7">
                  <c:v>1.3594079999999999</c:v>
                </c:pt>
                <c:pt idx="8">
                  <c:v>1.1338560000000002</c:v>
                </c:pt>
                <c:pt idx="9">
                  <c:v>1.0332720000000002</c:v>
                </c:pt>
                <c:pt idx="10">
                  <c:v>0.29870400000000003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'All_XS_(m)'!$F$126:$F$136</c:f>
              <c:numCache>
                <c:formatCode>0.000</c:formatCode>
                <c:ptCount val="11"/>
                <c:pt idx="0">
                  <c:v>2.5033668595146294</c:v>
                </c:pt>
                <c:pt idx="1">
                  <c:v>5.8000837160367826</c:v>
                </c:pt>
                <c:pt idx="2">
                  <c:v>9.3357292681690538</c:v>
                </c:pt>
                <c:pt idx="3">
                  <c:v>12.843454554142463</c:v>
                </c:pt>
                <c:pt idx="4">
                  <c:v>15.458648856167848</c:v>
                </c:pt>
                <c:pt idx="5">
                  <c:v>18.431519324072799</c:v>
                </c:pt>
                <c:pt idx="6">
                  <c:v>21.30631950235864</c:v>
                </c:pt>
                <c:pt idx="7">
                  <c:v>24.976177436360842</c:v>
                </c:pt>
                <c:pt idx="8">
                  <c:v>28.359313353508806</c:v>
                </c:pt>
                <c:pt idx="9">
                  <c:v>31.723231825067771</c:v>
                </c:pt>
                <c:pt idx="10">
                  <c:v>35.090169247941766</c:v>
                </c:pt>
              </c:numCache>
            </c:numRef>
          </c:xVal>
          <c:yVal>
            <c:numRef>
              <c:f>'All_XS_(m)'!$H$126:$H$136</c:f>
              <c:numCache>
                <c:formatCode>0.000</c:formatCode>
                <c:ptCount val="11"/>
                <c:pt idx="0">
                  <c:v>0.63706400399999996</c:v>
                </c:pt>
                <c:pt idx="1">
                  <c:v>0.71504190239999998</c:v>
                </c:pt>
                <c:pt idx="2">
                  <c:v>0.79390372080000005</c:v>
                </c:pt>
                <c:pt idx="3">
                  <c:v>1.0347478416</c:v>
                </c:pt>
                <c:pt idx="4">
                  <c:v>1.1315404344000002</c:v>
                </c:pt>
                <c:pt idx="5">
                  <c:v>1.1978265096</c:v>
                </c:pt>
                <c:pt idx="6">
                  <c:v>1.2549030528000003</c:v>
                </c:pt>
                <c:pt idx="7">
                  <c:v>1.2875035464</c:v>
                </c:pt>
                <c:pt idx="8">
                  <c:v>1.0838401488</c:v>
                </c:pt>
                <c:pt idx="9">
                  <c:v>0.66749797920000009</c:v>
                </c:pt>
                <c:pt idx="10">
                  <c:v>0.20621213520000001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664256"/>
        <c:axId val="123665792"/>
      </c:scatterChart>
      <c:valAx>
        <c:axId val="123664256"/>
        <c:scaling>
          <c:orientation val="minMax"/>
        </c:scaling>
        <c:delete val="0"/>
        <c:axPos val="b"/>
        <c:numFmt formatCode="0" sourceLinked="0"/>
        <c:majorTickMark val="in"/>
        <c:minorTickMark val="none"/>
        <c:tickLblPos val="none"/>
        <c:crossAx val="123665792"/>
        <c:crosses val="max"/>
        <c:crossBetween val="midCat"/>
      </c:valAx>
      <c:valAx>
        <c:axId val="123665792"/>
        <c:scaling>
          <c:orientation val="maxMin"/>
        </c:scaling>
        <c:delete val="0"/>
        <c:axPos val="l"/>
        <c:numFmt formatCode="0.0" sourceLinked="0"/>
        <c:majorTickMark val="in"/>
        <c:minorTickMark val="none"/>
        <c:tickLblPos val="nextTo"/>
        <c:crossAx val="123664256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55" b="0.75000000000000155" header="0.30000000000000032" footer="0.30000000000000032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cc. Depth XS-10</a:t>
            </a:r>
          </a:p>
        </c:rich>
      </c:tx>
      <c:layout>
        <c:manualLayout>
          <c:xMode val="edge"/>
          <c:yMode val="edge"/>
          <c:x val="0.5343055555555557"/>
          <c:y val="0.68888888888888933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23"/>
          <c:w val="0.82705489938757804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  <a:beve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'All_XS_(m)'!$L$126:$L$136</c:f>
              <c:numCache>
                <c:formatCode>0.000</c:formatCode>
                <c:ptCount val="11"/>
                <c:pt idx="0">
                  <c:v>2.5033668595146294</c:v>
                </c:pt>
                <c:pt idx="1">
                  <c:v>5.8000837160367826</c:v>
                </c:pt>
                <c:pt idx="2">
                  <c:v>9.3357292681690538</c:v>
                </c:pt>
                <c:pt idx="3">
                  <c:v>12.843454554142463</c:v>
                </c:pt>
                <c:pt idx="4">
                  <c:v>15.458648856167848</c:v>
                </c:pt>
                <c:pt idx="5">
                  <c:v>18.431519324072799</c:v>
                </c:pt>
                <c:pt idx="6">
                  <c:v>21.30631950235864</c:v>
                </c:pt>
                <c:pt idx="7">
                  <c:v>24.976177436360842</c:v>
                </c:pt>
                <c:pt idx="8">
                  <c:v>28.359313353508806</c:v>
                </c:pt>
                <c:pt idx="9">
                  <c:v>31.723231825067771</c:v>
                </c:pt>
                <c:pt idx="10">
                  <c:v>35.090169247941766</c:v>
                </c:pt>
              </c:numCache>
            </c:numRef>
          </c:xVal>
          <c:yVal>
            <c:numRef>
              <c:f>'All_XS_(m)'!$M$126:$M$136</c:f>
              <c:numCache>
                <c:formatCode>0.000</c:formatCode>
                <c:ptCount val="11"/>
                <c:pt idx="0">
                  <c:v>0.10999866240000002</c:v>
                </c:pt>
                <c:pt idx="1">
                  <c:v>0.24384000000000003</c:v>
                </c:pt>
                <c:pt idx="2">
                  <c:v>0.42999477120000001</c:v>
                </c:pt>
                <c:pt idx="3">
                  <c:v>0.64008000000000009</c:v>
                </c:pt>
                <c:pt idx="4">
                  <c:v>0.45999440640000006</c:v>
                </c:pt>
                <c:pt idx="5">
                  <c:v>0.53999343360000007</c:v>
                </c:pt>
                <c:pt idx="6">
                  <c:v>0.85343999999999998</c:v>
                </c:pt>
                <c:pt idx="7">
                  <c:v>0.46999428480000005</c:v>
                </c:pt>
                <c:pt idx="8">
                  <c:v>0.45720000000000005</c:v>
                </c:pt>
                <c:pt idx="9">
                  <c:v>0.30480000000000002</c:v>
                </c:pt>
                <c:pt idx="10">
                  <c:v>0.15999805440000003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'All_XS_(m)'!$L$126:$L$136</c:f>
              <c:numCache>
                <c:formatCode>0.000</c:formatCode>
                <c:ptCount val="11"/>
                <c:pt idx="0">
                  <c:v>2.5033668595146294</c:v>
                </c:pt>
                <c:pt idx="1">
                  <c:v>5.8000837160367826</c:v>
                </c:pt>
                <c:pt idx="2">
                  <c:v>9.3357292681690538</c:v>
                </c:pt>
                <c:pt idx="3">
                  <c:v>12.843454554142463</c:v>
                </c:pt>
                <c:pt idx="4">
                  <c:v>15.458648856167848</c:v>
                </c:pt>
                <c:pt idx="5">
                  <c:v>18.431519324072799</c:v>
                </c:pt>
                <c:pt idx="6">
                  <c:v>21.30631950235864</c:v>
                </c:pt>
                <c:pt idx="7">
                  <c:v>24.976177436360842</c:v>
                </c:pt>
                <c:pt idx="8">
                  <c:v>28.359313353508806</c:v>
                </c:pt>
                <c:pt idx="9">
                  <c:v>31.723231825067771</c:v>
                </c:pt>
                <c:pt idx="10">
                  <c:v>35.090169247941766</c:v>
                </c:pt>
              </c:numCache>
            </c:numRef>
          </c:xVal>
          <c:yVal>
            <c:numRef>
              <c:f>'All_XS_(m)'!$N$126:$N$136</c:f>
              <c:numCache>
                <c:formatCode>0.000</c:formatCode>
                <c:ptCount val="11"/>
                <c:pt idx="0">
                  <c:v>0.24438376320000002</c:v>
                </c:pt>
                <c:pt idx="1">
                  <c:v>0.24157746960000001</c:v>
                </c:pt>
                <c:pt idx="2">
                  <c:v>0.29364066240000003</c:v>
                </c:pt>
                <c:pt idx="3">
                  <c:v>0.55869017040000002</c:v>
                </c:pt>
                <c:pt idx="4">
                  <c:v>0.56343346800000005</c:v>
                </c:pt>
                <c:pt idx="5">
                  <c:v>0.57586229760000007</c:v>
                </c:pt>
                <c:pt idx="6">
                  <c:v>0.61657656720000009</c:v>
                </c:pt>
                <c:pt idx="7">
                  <c:v>0.63246792480000003</c:v>
                </c:pt>
                <c:pt idx="8">
                  <c:v>0.48607827600000003</c:v>
                </c:pt>
                <c:pt idx="9">
                  <c:v>0.22843906560000002</c:v>
                </c:pt>
                <c:pt idx="10">
                  <c:v>1.92920112E-2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838848"/>
        <c:axId val="123840384"/>
      </c:scatterChart>
      <c:valAx>
        <c:axId val="123838848"/>
        <c:scaling>
          <c:orientation val="minMax"/>
        </c:scaling>
        <c:delete val="0"/>
        <c:axPos val="b"/>
        <c:numFmt formatCode="0" sourceLinked="0"/>
        <c:majorTickMark val="in"/>
        <c:minorTickMark val="none"/>
        <c:tickLblPos val="nextTo"/>
        <c:crossAx val="123840384"/>
        <c:crosses val="max"/>
        <c:crossBetween val="midCat"/>
      </c:valAx>
      <c:valAx>
        <c:axId val="123840384"/>
        <c:scaling>
          <c:orientation val="maxMin"/>
        </c:scaling>
        <c:delete val="0"/>
        <c:axPos val="l"/>
        <c:numFmt formatCode="0.0" sourceLinked="0"/>
        <c:majorTickMark val="in"/>
        <c:minorTickMark val="none"/>
        <c:tickLblPos val="nextTo"/>
        <c:crossAx val="12383884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55" b="0.75000000000000155" header="0.30000000000000032" footer="0.30000000000000032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o. Vel XS-11</a:t>
            </a:r>
          </a:p>
        </c:rich>
      </c:tx>
      <c:layout>
        <c:manualLayout>
          <c:xMode val="edge"/>
          <c:yMode val="edge"/>
          <c:x val="0.62805555555555648"/>
          <c:y val="0.06666666666666668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23"/>
          <c:w val="0.82705489938757804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  <a:round/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'All_XS_(m)'!$F$138:$F$148</c:f>
              <c:numCache>
                <c:formatCode>0.000</c:formatCode>
                <c:ptCount val="11"/>
                <c:pt idx="0">
                  <c:v>1.5087482080894257</c:v>
                </c:pt>
                <c:pt idx="1">
                  <c:v>4.710446407500628</c:v>
                </c:pt>
                <c:pt idx="2">
                  <c:v>7.9164858992747327</c:v>
                </c:pt>
                <c:pt idx="3">
                  <c:v>11.069495535789045</c:v>
                </c:pt>
                <c:pt idx="4">
                  <c:v>13.984932534890365</c:v>
                </c:pt>
                <c:pt idx="5">
                  <c:v>16.990190856580718</c:v>
                </c:pt>
                <c:pt idx="6">
                  <c:v>20.100680830034769</c:v>
                </c:pt>
                <c:pt idx="7">
                  <c:v>23.234227183590448</c:v>
                </c:pt>
                <c:pt idx="8">
                  <c:v>26.726423845345916</c:v>
                </c:pt>
                <c:pt idx="9">
                  <c:v>30.413106059714355</c:v>
                </c:pt>
                <c:pt idx="10">
                  <c:v>34.186635556607378</c:v>
                </c:pt>
              </c:numCache>
            </c:numRef>
          </c:xVal>
          <c:yVal>
            <c:numRef>
              <c:f>'All_XS_(m)'!$G$138:$G$148</c:f>
              <c:numCache>
                <c:formatCode>0.000</c:formatCode>
                <c:ptCount val="11"/>
                <c:pt idx="0">
                  <c:v>0.21945600000000001</c:v>
                </c:pt>
                <c:pt idx="1">
                  <c:v>0.70408800000000005</c:v>
                </c:pt>
                <c:pt idx="2">
                  <c:v>0.81076800000000004</c:v>
                </c:pt>
                <c:pt idx="3">
                  <c:v>0.91744799999999993</c:v>
                </c:pt>
                <c:pt idx="4">
                  <c:v>0.81991199999999997</c:v>
                </c:pt>
                <c:pt idx="5">
                  <c:v>1.0027920000000001</c:v>
                </c:pt>
                <c:pt idx="6">
                  <c:v>1.0911840000000002</c:v>
                </c:pt>
                <c:pt idx="7">
                  <c:v>0.81991199999999997</c:v>
                </c:pt>
                <c:pt idx="8">
                  <c:v>0.78943200000000002</c:v>
                </c:pt>
                <c:pt idx="9">
                  <c:v>0.27127200000000001</c:v>
                </c:pt>
                <c:pt idx="10">
                  <c:v>0.10058400000000001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'All_XS_(m)'!$F$138:$F$148</c:f>
              <c:numCache>
                <c:formatCode>0.000</c:formatCode>
                <c:ptCount val="11"/>
                <c:pt idx="0">
                  <c:v>1.5087482080894257</c:v>
                </c:pt>
                <c:pt idx="1">
                  <c:v>4.710446407500628</c:v>
                </c:pt>
                <c:pt idx="2">
                  <c:v>7.9164858992747327</c:v>
                </c:pt>
                <c:pt idx="3">
                  <c:v>11.069495535789045</c:v>
                </c:pt>
                <c:pt idx="4">
                  <c:v>13.984932534890365</c:v>
                </c:pt>
                <c:pt idx="5">
                  <c:v>16.990190856580718</c:v>
                </c:pt>
                <c:pt idx="6">
                  <c:v>20.100680830034769</c:v>
                </c:pt>
                <c:pt idx="7">
                  <c:v>23.234227183590448</c:v>
                </c:pt>
                <c:pt idx="8">
                  <c:v>26.726423845345916</c:v>
                </c:pt>
                <c:pt idx="9">
                  <c:v>30.413106059714355</c:v>
                </c:pt>
                <c:pt idx="10">
                  <c:v>34.186635556607378</c:v>
                </c:pt>
              </c:numCache>
            </c:numRef>
          </c:xVal>
          <c:yVal>
            <c:numRef>
              <c:f>'All_XS_(m)'!$H$138:$H$148</c:f>
              <c:numCache>
                <c:formatCode>0.000</c:formatCode>
                <c:ptCount val="11"/>
                <c:pt idx="0">
                  <c:v>7.5343816800000005E-2</c:v>
                </c:pt>
                <c:pt idx="1">
                  <c:v>8.3274103200000005E-2</c:v>
                </c:pt>
                <c:pt idx="2">
                  <c:v>0.56658357600000009</c:v>
                </c:pt>
                <c:pt idx="3">
                  <c:v>1.0199872919999999</c:v>
                </c:pt>
                <c:pt idx="4">
                  <c:v>1.1207858712000001</c:v>
                </c:pt>
                <c:pt idx="5">
                  <c:v>1.118170992</c:v>
                </c:pt>
                <c:pt idx="6">
                  <c:v>1.1227265328</c:v>
                </c:pt>
                <c:pt idx="7">
                  <c:v>0.96885861600000001</c:v>
                </c:pt>
                <c:pt idx="8">
                  <c:v>0.66464383199999999</c:v>
                </c:pt>
                <c:pt idx="9">
                  <c:v>0.19557979680000001</c:v>
                </c:pt>
                <c:pt idx="10">
                  <c:v>0.1111401384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59936"/>
        <c:axId val="123986304"/>
      </c:scatterChart>
      <c:valAx>
        <c:axId val="123959936"/>
        <c:scaling>
          <c:orientation val="minMax"/>
        </c:scaling>
        <c:delete val="0"/>
        <c:axPos val="b"/>
        <c:numFmt formatCode="0" sourceLinked="0"/>
        <c:majorTickMark val="in"/>
        <c:minorTickMark val="none"/>
        <c:tickLblPos val="none"/>
        <c:crossAx val="123986304"/>
        <c:crosses val="autoZero"/>
        <c:crossBetween val="midCat"/>
      </c:valAx>
      <c:valAx>
        <c:axId val="123986304"/>
        <c:scaling>
          <c:orientation val="minMax"/>
        </c:scaling>
        <c:delete val="0"/>
        <c:axPos val="l"/>
        <c:numFmt formatCode="0.0" sourceLinked="0"/>
        <c:majorTickMark val="in"/>
        <c:minorTickMark val="none"/>
        <c:tickLblPos val="nextTo"/>
        <c:crossAx val="123959936"/>
        <c:crosses val="autoZero"/>
        <c:crossBetween val="midCat"/>
        <c:majorUnit val="0.40000000000000002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55" b="0.75000000000000155" header="0.30000000000000032" footer="0.30000000000000032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r. Depth XS-11</a:t>
            </a:r>
          </a:p>
        </c:rich>
      </c:tx>
      <c:layout>
        <c:manualLayout>
          <c:xMode val="edge"/>
          <c:yMode val="edge"/>
          <c:x val="0.5655555555555557"/>
          <c:y val="0.68444444444444463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51"/>
          <c:w val="0.82705489938757826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'All_XS_(m)'!$L$138:$L$148</c:f>
              <c:numCache>
                <c:formatCode>0.000</c:formatCode>
                <c:ptCount val="11"/>
                <c:pt idx="0">
                  <c:v>1.5087482080894257</c:v>
                </c:pt>
                <c:pt idx="1">
                  <c:v>4.710446407500628</c:v>
                </c:pt>
                <c:pt idx="2">
                  <c:v>7.9164858992747327</c:v>
                </c:pt>
                <c:pt idx="3">
                  <c:v>11.069495535789045</c:v>
                </c:pt>
                <c:pt idx="4">
                  <c:v>13.984932534890365</c:v>
                </c:pt>
                <c:pt idx="5">
                  <c:v>16.990190856580718</c:v>
                </c:pt>
                <c:pt idx="6">
                  <c:v>20.100680830034769</c:v>
                </c:pt>
                <c:pt idx="7">
                  <c:v>23.234227183590448</c:v>
                </c:pt>
                <c:pt idx="8">
                  <c:v>26.726423845345916</c:v>
                </c:pt>
                <c:pt idx="9">
                  <c:v>30.413106059714355</c:v>
                </c:pt>
                <c:pt idx="10">
                  <c:v>34.186635556607378</c:v>
                </c:pt>
              </c:numCache>
            </c:numRef>
          </c:xVal>
          <c:yVal>
            <c:numRef>
              <c:f>'All_XS_(m)'!$M$138:$M$148</c:f>
              <c:numCache>
                <c:formatCode>0.000</c:formatCode>
                <c:ptCount val="11"/>
                <c:pt idx="0">
                  <c:v>0.36999550080000004</c:v>
                </c:pt>
                <c:pt idx="1">
                  <c:v>0.45720000000000005</c:v>
                </c:pt>
                <c:pt idx="2">
                  <c:v>0.66999185280000018</c:v>
                </c:pt>
                <c:pt idx="3">
                  <c:v>0.73152000000000006</c:v>
                </c:pt>
                <c:pt idx="4">
                  <c:v>0.80999015040000022</c:v>
                </c:pt>
                <c:pt idx="5">
                  <c:v>0.73152000000000006</c:v>
                </c:pt>
                <c:pt idx="6">
                  <c:v>0.65999197440000013</c:v>
                </c:pt>
                <c:pt idx="7">
                  <c:v>0.60960000000000003</c:v>
                </c:pt>
                <c:pt idx="8">
                  <c:v>0.50999379840000003</c:v>
                </c:pt>
                <c:pt idx="9">
                  <c:v>0.51816000000000006</c:v>
                </c:pt>
                <c:pt idx="10">
                  <c:v>0.29999635200000002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'All_XS_(m)'!$L$138:$L$148</c:f>
              <c:numCache>
                <c:formatCode>0.000</c:formatCode>
                <c:ptCount val="11"/>
                <c:pt idx="0">
                  <c:v>1.5087482080894257</c:v>
                </c:pt>
                <c:pt idx="1">
                  <c:v>4.710446407500628</c:v>
                </c:pt>
                <c:pt idx="2">
                  <c:v>7.9164858992747327</c:v>
                </c:pt>
                <c:pt idx="3">
                  <c:v>11.069495535789045</c:v>
                </c:pt>
                <c:pt idx="4">
                  <c:v>13.984932534890365</c:v>
                </c:pt>
                <c:pt idx="5">
                  <c:v>16.990190856580718</c:v>
                </c:pt>
                <c:pt idx="6">
                  <c:v>20.100680830034769</c:v>
                </c:pt>
                <c:pt idx="7">
                  <c:v>23.234227183590448</c:v>
                </c:pt>
                <c:pt idx="8">
                  <c:v>26.726423845345916</c:v>
                </c:pt>
                <c:pt idx="9">
                  <c:v>30.413106059714355</c:v>
                </c:pt>
                <c:pt idx="10">
                  <c:v>34.186635556607378</c:v>
                </c:pt>
              </c:numCache>
            </c:numRef>
          </c:xVal>
          <c:yVal>
            <c:numRef>
              <c:f>'All_XS_(m)'!$N$138:$N$148</c:f>
              <c:numCache>
                <c:formatCode>0.000</c:formatCode>
                <c:ptCount val="11"/>
                <c:pt idx="0">
                  <c:v>0</c:v>
                </c:pt>
                <c:pt idx="1">
                  <c:v>6.35465328E-2</c:v>
                </c:pt>
                <c:pt idx="2">
                  <c:v>0.55106742720000002</c:v>
                </c:pt>
                <c:pt idx="3">
                  <c:v>0.78847370880000001</c:v>
                </c:pt>
                <c:pt idx="4">
                  <c:v>0.88607950800000002</c:v>
                </c:pt>
                <c:pt idx="5">
                  <c:v>0.80693392080000004</c:v>
                </c:pt>
                <c:pt idx="6">
                  <c:v>0.80416359360000012</c:v>
                </c:pt>
                <c:pt idx="7">
                  <c:v>0.6740743440000001</c:v>
                </c:pt>
                <c:pt idx="8">
                  <c:v>0.52459188960000003</c:v>
                </c:pt>
                <c:pt idx="9">
                  <c:v>0.18082290479999999</c:v>
                </c:pt>
                <c:pt idx="10">
                  <c:v>0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15744"/>
        <c:axId val="124017280"/>
      </c:scatterChart>
      <c:valAx>
        <c:axId val="124015744"/>
        <c:scaling>
          <c:orientation val="minMax"/>
        </c:scaling>
        <c:delete val="0"/>
        <c:axPos val="b"/>
        <c:numFmt formatCode="0" sourceLinked="0"/>
        <c:majorTickMark val="in"/>
        <c:minorTickMark val="none"/>
        <c:tickLblPos val="nextTo"/>
        <c:crossAx val="124017280"/>
        <c:crosses val="max"/>
        <c:crossBetween val="midCat"/>
      </c:valAx>
      <c:valAx>
        <c:axId val="124017280"/>
        <c:scaling>
          <c:orientation val="maxMin"/>
          <c:max val="0.90000000000000002"/>
        </c:scaling>
        <c:delete val="0"/>
        <c:axPos val="l"/>
        <c:numFmt formatCode="0.0" sourceLinked="0"/>
        <c:majorTickMark val="in"/>
        <c:minorTickMark val="none"/>
        <c:tickLblPos val="nextTo"/>
        <c:crossAx val="124015744"/>
        <c:crosses val="autoZero"/>
        <c:crossBetween val="midCat"/>
        <c:majorUnit val="0.30000000000000032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78" b="0.75000000000000178" header="0.30000000000000032" footer="0.30000000000000032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s. Vel XS-12</a:t>
            </a:r>
          </a:p>
        </c:rich>
      </c:tx>
      <c:layout>
        <c:manualLayout>
          <c:xMode val="edge"/>
          <c:yMode val="edge"/>
          <c:x val="0.14194444444444468"/>
          <c:y val="0.70666666666666667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23"/>
          <c:w val="0.82705489938757804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  <a:round/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'All_XS_(m)'!$F$150:$F$170</c:f>
              <c:numCache>
                <c:formatCode>0.000</c:formatCode>
                <c:ptCount val="21"/>
                <c:pt idx="0">
                  <c:v>64.059401436159533</c:v>
                </c:pt>
                <c:pt idx="1">
                  <c:v>61.523055802773044</c:v>
                </c:pt>
                <c:pt idx="2">
                  <c:v>57.477838747644277</c:v>
                </c:pt>
                <c:pt idx="3">
                  <c:v>54.900012501697638</c:v>
                </c:pt>
                <c:pt idx="4">
                  <c:v>51.865494453168736</c:v>
                </c:pt>
                <c:pt idx="5">
                  <c:v>48.620536263709958</c:v>
                </c:pt>
                <c:pt idx="6">
                  <c:v>45.651534394591017</c:v>
                </c:pt>
                <c:pt idx="7">
                  <c:v>42.461986940166135</c:v>
                </c:pt>
                <c:pt idx="8">
                  <c:v>39.314922674397877</c:v>
                </c:pt>
                <c:pt idx="9">
                  <c:v>36.575697690992563</c:v>
                </c:pt>
                <c:pt idx="10">
                  <c:v>33.143851187082994</c:v>
                </c:pt>
                <c:pt idx="11">
                  <c:v>30.448774064123775</c:v>
                </c:pt>
                <c:pt idx="12">
                  <c:v>27.189575156982723</c:v>
                </c:pt>
                <c:pt idx="13">
                  <c:v>24.548959342128867</c:v>
                </c:pt>
                <c:pt idx="14">
                  <c:v>21.46196172014843</c:v>
                </c:pt>
                <c:pt idx="15">
                  <c:v>18.611562319779786</c:v>
                </c:pt>
                <c:pt idx="16">
                  <c:v>15.448868160721018</c:v>
                </c:pt>
                <c:pt idx="17">
                  <c:v>12.769644987448954</c:v>
                </c:pt>
                <c:pt idx="18">
                  <c:v>9.6837795040619241</c:v>
                </c:pt>
                <c:pt idx="19">
                  <c:v>6.6835020581861491</c:v>
                </c:pt>
                <c:pt idx="20">
                  <c:v>3.5626780181733286</c:v>
                </c:pt>
              </c:numCache>
            </c:numRef>
          </c:xVal>
          <c:yVal>
            <c:numRef>
              <c:f>'All_XS_(m)'!$G$150:$G$170</c:f>
              <c:numCache>
                <c:formatCode>0.000</c:formatCode>
                <c:ptCount val="21"/>
                <c:pt idx="0">
                  <c:v>0.35052</c:v>
                </c:pt>
                <c:pt idx="1">
                  <c:v>0.32308800000000004</c:v>
                </c:pt>
                <c:pt idx="2">
                  <c:v>0.46939200000000003</c:v>
                </c:pt>
                <c:pt idx="3">
                  <c:v>0.420624</c:v>
                </c:pt>
                <c:pt idx="4">
                  <c:v>0.420624</c:v>
                </c:pt>
                <c:pt idx="5">
                  <c:v>0.53949600000000009</c:v>
                </c:pt>
                <c:pt idx="6">
                  <c:v>0.75285600000000008</c:v>
                </c:pt>
                <c:pt idx="7">
                  <c:v>0.75895200000000007</c:v>
                </c:pt>
                <c:pt idx="8">
                  <c:v>0.70408800000000005</c:v>
                </c:pt>
                <c:pt idx="9">
                  <c:v>0.77114399999999994</c:v>
                </c:pt>
                <c:pt idx="10">
                  <c:v>0.58826400000000001</c:v>
                </c:pt>
                <c:pt idx="11">
                  <c:v>0.64008000000000009</c:v>
                </c:pt>
                <c:pt idx="12">
                  <c:v>0.56997600000000004</c:v>
                </c:pt>
                <c:pt idx="13">
                  <c:v>0.60045599999999999</c:v>
                </c:pt>
                <c:pt idx="14">
                  <c:v>0.58826400000000001</c:v>
                </c:pt>
                <c:pt idx="15">
                  <c:v>0.57911999999999997</c:v>
                </c:pt>
                <c:pt idx="16">
                  <c:v>0.56997600000000004</c:v>
                </c:pt>
                <c:pt idx="17">
                  <c:v>0.50901600000000002</c:v>
                </c:pt>
                <c:pt idx="18">
                  <c:v>0.521208</c:v>
                </c:pt>
                <c:pt idx="19">
                  <c:v>0.37185600000000002</c:v>
                </c:pt>
                <c:pt idx="20">
                  <c:v>0.17983199999999999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'All_XS_(m)'!$F$150:$F$170</c:f>
              <c:numCache>
                <c:formatCode>0.000</c:formatCode>
                <c:ptCount val="21"/>
                <c:pt idx="0">
                  <c:v>64.059401436159533</c:v>
                </c:pt>
                <c:pt idx="1">
                  <c:v>61.523055802773044</c:v>
                </c:pt>
                <c:pt idx="2">
                  <c:v>57.477838747644277</c:v>
                </c:pt>
                <c:pt idx="3">
                  <c:v>54.900012501697638</c:v>
                </c:pt>
                <c:pt idx="4">
                  <c:v>51.865494453168736</c:v>
                </c:pt>
                <c:pt idx="5">
                  <c:v>48.620536263709958</c:v>
                </c:pt>
                <c:pt idx="6">
                  <c:v>45.651534394591017</c:v>
                </c:pt>
                <c:pt idx="7">
                  <c:v>42.461986940166135</c:v>
                </c:pt>
                <c:pt idx="8">
                  <c:v>39.314922674397877</c:v>
                </c:pt>
                <c:pt idx="9">
                  <c:v>36.575697690992563</c:v>
                </c:pt>
                <c:pt idx="10">
                  <c:v>33.143851187082994</c:v>
                </c:pt>
                <c:pt idx="11">
                  <c:v>30.448774064123775</c:v>
                </c:pt>
                <c:pt idx="12">
                  <c:v>27.189575156982723</c:v>
                </c:pt>
                <c:pt idx="13">
                  <c:v>24.548959342128867</c:v>
                </c:pt>
                <c:pt idx="14">
                  <c:v>21.46196172014843</c:v>
                </c:pt>
                <c:pt idx="15">
                  <c:v>18.611562319779786</c:v>
                </c:pt>
                <c:pt idx="16">
                  <c:v>15.448868160721018</c:v>
                </c:pt>
                <c:pt idx="17">
                  <c:v>12.769644987448954</c:v>
                </c:pt>
                <c:pt idx="18">
                  <c:v>9.6837795040619241</c:v>
                </c:pt>
                <c:pt idx="19">
                  <c:v>6.6835020581861491</c:v>
                </c:pt>
                <c:pt idx="20">
                  <c:v>3.5626780181733286</c:v>
                </c:pt>
              </c:numCache>
            </c:numRef>
          </c:xVal>
          <c:yVal>
            <c:numRef>
              <c:f>'All_XS_(m)'!$H$150:$H$170</c:f>
              <c:numCache>
                <c:formatCode>0.000</c:formatCode>
                <c:ptCount val="21"/>
                <c:pt idx="0">
                  <c:v>0.24977658960000002</c:v>
                </c:pt>
                <c:pt idx="1">
                  <c:v>0.45134844960000003</c:v>
                </c:pt>
                <c:pt idx="2">
                  <c:v>0.47235313200000001</c:v>
                </c:pt>
                <c:pt idx="3">
                  <c:v>0.49735313280000004</c:v>
                </c:pt>
                <c:pt idx="4">
                  <c:v>0.53742762720000004</c:v>
                </c:pt>
                <c:pt idx="5">
                  <c:v>0.58008560640000006</c:v>
                </c:pt>
                <c:pt idx="6">
                  <c:v>0.61579719359999996</c:v>
                </c:pt>
                <c:pt idx="7">
                  <c:v>0.64759545360000004</c:v>
                </c:pt>
                <c:pt idx="8">
                  <c:v>0.63633278879999999</c:v>
                </c:pt>
                <c:pt idx="9">
                  <c:v>0.58862549280000009</c:v>
                </c:pt>
                <c:pt idx="10">
                  <c:v>0.55199584800000001</c:v>
                </c:pt>
                <c:pt idx="11">
                  <c:v>0.52824034559999999</c:v>
                </c:pt>
                <c:pt idx="12">
                  <c:v>0.51472886640000004</c:v>
                </c:pt>
                <c:pt idx="13">
                  <c:v>0.51473618160000001</c:v>
                </c:pt>
                <c:pt idx="14">
                  <c:v>0.48514223520000005</c:v>
                </c:pt>
                <c:pt idx="15">
                  <c:v>0.46767262320000003</c:v>
                </c:pt>
                <c:pt idx="16">
                  <c:v>0.45808148160000001</c:v>
                </c:pt>
                <c:pt idx="17">
                  <c:v>0.44441424959999998</c:v>
                </c:pt>
                <c:pt idx="18">
                  <c:v>0.3956983704</c:v>
                </c:pt>
                <c:pt idx="19">
                  <c:v>0.33083906399999996</c:v>
                </c:pt>
                <c:pt idx="20">
                  <c:v>0.21383701200000002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872768"/>
        <c:axId val="123874304"/>
      </c:scatterChart>
      <c:valAx>
        <c:axId val="123872768"/>
        <c:scaling>
          <c:orientation val="minMax"/>
          <c:max val="90"/>
          <c:min val="0"/>
        </c:scaling>
        <c:delete val="0"/>
        <c:axPos val="b"/>
        <c:numFmt formatCode="0" sourceLinked="0"/>
        <c:majorTickMark val="in"/>
        <c:minorTickMark val="none"/>
        <c:tickLblPos val="none"/>
        <c:crossAx val="123874304"/>
        <c:crosses val="autoZero"/>
        <c:crossBetween val="midCat"/>
        <c:majorUnit val="45"/>
      </c:valAx>
      <c:valAx>
        <c:axId val="123874304"/>
        <c:scaling>
          <c:orientation val="minMax"/>
        </c:scaling>
        <c:delete val="0"/>
        <c:axPos val="l"/>
        <c:numFmt formatCode="0.0" sourceLinked="0"/>
        <c:majorTickMark val="in"/>
        <c:minorTickMark val="none"/>
        <c:tickLblPos val="nextTo"/>
        <c:crossAx val="123872768"/>
        <c:crosses val="autoZero"/>
        <c:crossBetween val="midCat"/>
        <c:majorUnit val="0.30000000000000032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55" b="0.75000000000000155" header="0.30000000000000032" footer="0.30000000000000032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v. Depth XS-12</a:t>
            </a:r>
          </a:p>
        </c:rich>
      </c:tx>
      <c:layout>
        <c:manualLayout>
          <c:xMode val="edge"/>
          <c:yMode val="edge"/>
          <c:x val="0.57944444444444465"/>
          <c:y val="0.044444444444444488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23"/>
          <c:w val="0.82705489938757804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'All_XS_(m)'!$L$150:$L$170</c:f>
              <c:numCache>
                <c:formatCode>0.000</c:formatCode>
                <c:ptCount val="21"/>
                <c:pt idx="0">
                  <c:v>64.059401436159533</c:v>
                </c:pt>
                <c:pt idx="1">
                  <c:v>61.523055802773044</c:v>
                </c:pt>
                <c:pt idx="2">
                  <c:v>57.477838747644277</c:v>
                </c:pt>
                <c:pt idx="3">
                  <c:v>54.900012501697638</c:v>
                </c:pt>
                <c:pt idx="4">
                  <c:v>51.865494453168736</c:v>
                </c:pt>
                <c:pt idx="5">
                  <c:v>48.620536263709958</c:v>
                </c:pt>
                <c:pt idx="6">
                  <c:v>45.651534394591017</c:v>
                </c:pt>
                <c:pt idx="7">
                  <c:v>42.461986940166135</c:v>
                </c:pt>
                <c:pt idx="8">
                  <c:v>39.314922674397877</c:v>
                </c:pt>
                <c:pt idx="9">
                  <c:v>36.575697690992563</c:v>
                </c:pt>
                <c:pt idx="10">
                  <c:v>33.143851187082994</c:v>
                </c:pt>
                <c:pt idx="11">
                  <c:v>30.448774064123775</c:v>
                </c:pt>
                <c:pt idx="12">
                  <c:v>27.189575156982723</c:v>
                </c:pt>
                <c:pt idx="13">
                  <c:v>24.548959342128867</c:v>
                </c:pt>
                <c:pt idx="14">
                  <c:v>21.46196172014843</c:v>
                </c:pt>
                <c:pt idx="15">
                  <c:v>18.611562319779786</c:v>
                </c:pt>
                <c:pt idx="16">
                  <c:v>15.448868160721018</c:v>
                </c:pt>
                <c:pt idx="17">
                  <c:v>12.769644987448954</c:v>
                </c:pt>
                <c:pt idx="18">
                  <c:v>9.6837795040619241</c:v>
                </c:pt>
                <c:pt idx="19">
                  <c:v>6.6835020581861491</c:v>
                </c:pt>
                <c:pt idx="20">
                  <c:v>3.5626780181733286</c:v>
                </c:pt>
              </c:numCache>
            </c:numRef>
          </c:xVal>
          <c:yVal>
            <c:numRef>
              <c:f>'All_XS_(m)'!$M$150:$M$170</c:f>
              <c:numCache>
                <c:formatCode>0.000</c:formatCode>
                <c:ptCount val="21"/>
                <c:pt idx="0">
                  <c:v>0.21999732480000003</c:v>
                </c:pt>
                <c:pt idx="1">
                  <c:v>0.27432000000000001</c:v>
                </c:pt>
                <c:pt idx="2">
                  <c:v>0.32999598720000006</c:v>
                </c:pt>
                <c:pt idx="3">
                  <c:v>0.33528000000000002</c:v>
                </c:pt>
                <c:pt idx="4">
                  <c:v>0.38999525760000009</c:v>
                </c:pt>
                <c:pt idx="5">
                  <c:v>0.49999392000000004</c:v>
                </c:pt>
                <c:pt idx="6">
                  <c:v>0.54864000000000002</c:v>
                </c:pt>
                <c:pt idx="7">
                  <c:v>0.51999367680000008</c:v>
                </c:pt>
                <c:pt idx="8">
                  <c:v>0.51816000000000006</c:v>
                </c:pt>
                <c:pt idx="9">
                  <c:v>0.45999440640000006</c:v>
                </c:pt>
                <c:pt idx="10">
                  <c:v>0.39624000000000004</c:v>
                </c:pt>
                <c:pt idx="11">
                  <c:v>0.39999513600000008</c:v>
                </c:pt>
                <c:pt idx="12">
                  <c:v>0.42671999999999999</c:v>
                </c:pt>
                <c:pt idx="13">
                  <c:v>0.42999477120000001</c:v>
                </c:pt>
                <c:pt idx="14">
                  <c:v>0.45720000000000005</c:v>
                </c:pt>
                <c:pt idx="15">
                  <c:v>0.42999477120000001</c:v>
                </c:pt>
                <c:pt idx="16">
                  <c:v>0.45720000000000005</c:v>
                </c:pt>
                <c:pt idx="17">
                  <c:v>0.48999404160000004</c:v>
                </c:pt>
                <c:pt idx="18">
                  <c:v>0.39624000000000004</c:v>
                </c:pt>
                <c:pt idx="19">
                  <c:v>0.36576000000000003</c:v>
                </c:pt>
                <c:pt idx="20">
                  <c:v>0.19999756800000004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'All_XS_(m)'!$L$150:$L$170</c:f>
              <c:numCache>
                <c:formatCode>0.000</c:formatCode>
                <c:ptCount val="21"/>
                <c:pt idx="0">
                  <c:v>64.059401436159533</c:v>
                </c:pt>
                <c:pt idx="1">
                  <c:v>61.523055802773044</c:v>
                </c:pt>
                <c:pt idx="2">
                  <c:v>57.477838747644277</c:v>
                </c:pt>
                <c:pt idx="3">
                  <c:v>54.900012501697638</c:v>
                </c:pt>
                <c:pt idx="4">
                  <c:v>51.865494453168736</c:v>
                </c:pt>
                <c:pt idx="5">
                  <c:v>48.620536263709958</c:v>
                </c:pt>
                <c:pt idx="6">
                  <c:v>45.651534394591017</c:v>
                </c:pt>
                <c:pt idx="7">
                  <c:v>42.461986940166135</c:v>
                </c:pt>
                <c:pt idx="8">
                  <c:v>39.314922674397877</c:v>
                </c:pt>
                <c:pt idx="9">
                  <c:v>36.575697690992563</c:v>
                </c:pt>
                <c:pt idx="10">
                  <c:v>33.143851187082994</c:v>
                </c:pt>
                <c:pt idx="11">
                  <c:v>30.448774064123775</c:v>
                </c:pt>
                <c:pt idx="12">
                  <c:v>27.189575156982723</c:v>
                </c:pt>
                <c:pt idx="13">
                  <c:v>24.548959342128867</c:v>
                </c:pt>
                <c:pt idx="14">
                  <c:v>21.46196172014843</c:v>
                </c:pt>
                <c:pt idx="15">
                  <c:v>18.611562319779786</c:v>
                </c:pt>
                <c:pt idx="16">
                  <c:v>15.448868160721018</c:v>
                </c:pt>
                <c:pt idx="17">
                  <c:v>12.769644987448954</c:v>
                </c:pt>
                <c:pt idx="18">
                  <c:v>9.6837795040619241</c:v>
                </c:pt>
                <c:pt idx="19">
                  <c:v>6.6835020581861491</c:v>
                </c:pt>
                <c:pt idx="20">
                  <c:v>3.5626780181733286</c:v>
                </c:pt>
              </c:numCache>
            </c:numRef>
          </c:xVal>
          <c:yVal>
            <c:numRef>
              <c:f>'All_XS_(m)'!$N$150:$N$170</c:f>
              <c:numCache>
                <c:formatCode>0.000</c:formatCode>
                <c:ptCount val="21"/>
                <c:pt idx="0">
                  <c:v>0.16257452880000001</c:v>
                </c:pt>
                <c:pt idx="1">
                  <c:v>0.27931384320000002</c:v>
                </c:pt>
                <c:pt idx="2">
                  <c:v>0.3438229344</c:v>
                </c:pt>
                <c:pt idx="3">
                  <c:v>0.39746041920000003</c:v>
                </c:pt>
                <c:pt idx="4">
                  <c:v>0.46017972480000002</c:v>
                </c:pt>
                <c:pt idx="5">
                  <c:v>0.52685777280000001</c:v>
                </c:pt>
                <c:pt idx="6">
                  <c:v>0.58851881280000007</c:v>
                </c:pt>
                <c:pt idx="7">
                  <c:v>0.66580572960000006</c:v>
                </c:pt>
                <c:pt idx="8">
                  <c:v>0.62628566640000005</c:v>
                </c:pt>
                <c:pt idx="9">
                  <c:v>0.52434896399999997</c:v>
                </c:pt>
                <c:pt idx="10">
                  <c:v>0.55646116800000001</c:v>
                </c:pt>
                <c:pt idx="11">
                  <c:v>0.5097097248000001</c:v>
                </c:pt>
                <c:pt idx="12">
                  <c:v>0.50177151360000005</c:v>
                </c:pt>
                <c:pt idx="13">
                  <c:v>0.59604249600000003</c:v>
                </c:pt>
                <c:pt idx="14">
                  <c:v>0.54021471840000002</c:v>
                </c:pt>
                <c:pt idx="15">
                  <c:v>0.58640715840000002</c:v>
                </c:pt>
                <c:pt idx="16">
                  <c:v>0.48518216399999997</c:v>
                </c:pt>
                <c:pt idx="17">
                  <c:v>0.42405696240000001</c:v>
                </c:pt>
                <c:pt idx="18">
                  <c:v>0.58001550239999999</c:v>
                </c:pt>
                <c:pt idx="19">
                  <c:v>0.49243335599999999</c:v>
                </c:pt>
                <c:pt idx="20">
                  <c:v>0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60032"/>
        <c:axId val="124061568"/>
      </c:scatterChart>
      <c:valAx>
        <c:axId val="124060032"/>
        <c:scaling>
          <c:orientation val="minMax"/>
          <c:max val="90"/>
          <c:min val="0"/>
        </c:scaling>
        <c:delete val="0"/>
        <c:axPos val="b"/>
        <c:numFmt formatCode="0" sourceLinked="0"/>
        <c:majorTickMark val="in"/>
        <c:minorTickMark val="none"/>
        <c:tickLblPos val="none"/>
        <c:crossAx val="124061568"/>
        <c:crosses val="max"/>
        <c:crossBetween val="midCat"/>
        <c:majorUnit val="45"/>
      </c:valAx>
      <c:valAx>
        <c:axId val="124061568"/>
        <c:scaling>
          <c:orientation val="maxMin"/>
        </c:scaling>
        <c:delete val="0"/>
        <c:axPos val="l"/>
        <c:numFmt formatCode="0.0" sourceLinked="0"/>
        <c:majorTickMark val="in"/>
        <c:minorTickMark val="none"/>
        <c:tickLblPos val="nextTo"/>
        <c:crossAx val="124060032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55" b="0.75000000000000155" header="0.30000000000000032" footer="0.30000000000000032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b. Vel XS-13</a:t>
            </a:r>
          </a:p>
        </c:rich>
      </c:tx>
      <c:layout>
        <c:manualLayout>
          <c:xMode val="edge"/>
          <c:yMode val="edge"/>
          <c:x val="0.16972222222222241"/>
          <c:y val="0.06666666666666668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16"/>
          <c:w val="0.82705489938757792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'All_XS_(m)'!$F$172:$F$180</c:f>
              <c:numCache>
                <c:formatCode>0.000</c:formatCode>
                <c:ptCount val="9"/>
                <c:pt idx="0">
                  <c:v>2.7098721697187922</c:v>
                </c:pt>
                <c:pt idx="1">
                  <c:v>4.9936854437624074</c:v>
                </c:pt>
                <c:pt idx="2">
                  <c:v>7.6852566320843811</c:v>
                </c:pt>
                <c:pt idx="3">
                  <c:v>10.493915002833923</c:v>
                </c:pt>
                <c:pt idx="4">
                  <c:v>13.760640680636048</c:v>
                </c:pt>
                <c:pt idx="5">
                  <c:v>17.375627134465006</c:v>
                </c:pt>
                <c:pt idx="6">
                  <c:v>19.605795330231668</c:v>
                </c:pt>
                <c:pt idx="7">
                  <c:v>21.682551824721834</c:v>
                </c:pt>
                <c:pt idx="8">
                  <c:v>24.059110281306388</c:v>
                </c:pt>
              </c:numCache>
            </c:numRef>
          </c:xVal>
          <c:yVal>
            <c:numRef>
              <c:f>'All_XS_(m)'!$G$172:$G$180</c:f>
              <c:numCache>
                <c:formatCode>0.000</c:formatCode>
                <c:ptCount val="9"/>
                <c:pt idx="0">
                  <c:v>0.140208</c:v>
                </c:pt>
                <c:pt idx="1">
                  <c:v>0.22250400000000001</c:v>
                </c:pt>
                <c:pt idx="2">
                  <c:v>0.24993599999999999</c:v>
                </c:pt>
                <c:pt idx="3">
                  <c:v>0.23774400000000001</c:v>
                </c:pt>
                <c:pt idx="4">
                  <c:v>0.34137600000000007</c:v>
                </c:pt>
                <c:pt idx="5">
                  <c:v>0.35356799999999999</c:v>
                </c:pt>
                <c:pt idx="6">
                  <c:v>0.420624</c:v>
                </c:pt>
                <c:pt idx="7">
                  <c:v>0.38709600000000005</c:v>
                </c:pt>
                <c:pt idx="8">
                  <c:v>0.42976799999999998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'All_XS_(m)'!$F$172:$F$180</c:f>
              <c:numCache>
                <c:formatCode>0.000</c:formatCode>
                <c:ptCount val="9"/>
                <c:pt idx="0">
                  <c:v>2.7098721697187922</c:v>
                </c:pt>
                <c:pt idx="1">
                  <c:v>4.9936854437624074</c:v>
                </c:pt>
                <c:pt idx="2">
                  <c:v>7.6852566320843811</c:v>
                </c:pt>
                <c:pt idx="3">
                  <c:v>10.493915002833923</c:v>
                </c:pt>
                <c:pt idx="4">
                  <c:v>13.760640680636048</c:v>
                </c:pt>
                <c:pt idx="5">
                  <c:v>17.375627134465006</c:v>
                </c:pt>
                <c:pt idx="6">
                  <c:v>19.605795330231668</c:v>
                </c:pt>
                <c:pt idx="7">
                  <c:v>21.682551824721834</c:v>
                </c:pt>
                <c:pt idx="8">
                  <c:v>24.059110281306388</c:v>
                </c:pt>
              </c:numCache>
            </c:numRef>
          </c:xVal>
          <c:yVal>
            <c:numRef>
              <c:f>'All_XS_(m)'!$H$172:$H$180</c:f>
              <c:numCache>
                <c:formatCode>0.000</c:formatCode>
                <c:ptCount val="9"/>
                <c:pt idx="0">
                  <c:v>9.2614089600000005E-2</c:v>
                </c:pt>
                <c:pt idx="1">
                  <c:v>0.22754630640000001</c:v>
                </c:pt>
                <c:pt idx="2">
                  <c:v>0.27024208080000001</c:v>
                </c:pt>
                <c:pt idx="3">
                  <c:v>0.30239939520000003</c:v>
                </c:pt>
                <c:pt idx="4">
                  <c:v>0.34052865600000004</c:v>
                </c:pt>
                <c:pt idx="5">
                  <c:v>0.38074732080000001</c:v>
                </c:pt>
                <c:pt idx="6">
                  <c:v>0.39509608559999998</c:v>
                </c:pt>
                <c:pt idx="7">
                  <c:v>0.40634290080000002</c:v>
                </c:pt>
                <c:pt idx="8">
                  <c:v>0.41413938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14432"/>
        <c:axId val="124115968"/>
      </c:scatterChart>
      <c:valAx>
        <c:axId val="124114432"/>
        <c:scaling>
          <c:orientation val="minMax"/>
        </c:scaling>
        <c:delete val="0"/>
        <c:axPos val="b"/>
        <c:numFmt formatCode="0" sourceLinked="0"/>
        <c:majorTickMark val="in"/>
        <c:minorTickMark val="none"/>
        <c:tickLblPos val="none"/>
        <c:crossAx val="124115968"/>
        <c:crosses val="autoZero"/>
        <c:crossBetween val="midCat"/>
      </c:valAx>
      <c:valAx>
        <c:axId val="124115968"/>
        <c:scaling>
          <c:orientation val="minMax"/>
        </c:scaling>
        <c:delete val="0"/>
        <c:axPos val="l"/>
        <c:numFmt formatCode="0.0" sourceLinked="0"/>
        <c:majorTickMark val="in"/>
        <c:minorTickMark val="none"/>
        <c:tickLblPos val="nextTo"/>
        <c:crossAx val="124114432"/>
        <c:crosses val="autoZero"/>
        <c:crossBetween val="midCat"/>
        <c:majorUnit val="0.20000000000000001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44" b="0.75000000000000144" header="0.30000000000000032" footer="0.30000000000000032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e. Depth XS-13</a:t>
            </a:r>
          </a:p>
        </c:rich>
      </c:tx>
      <c:layout>
        <c:manualLayout>
          <c:xMode val="edge"/>
          <c:yMode val="edge"/>
          <c:x val="0.18361111111111134"/>
          <c:y val="0.64888888888888996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37"/>
          <c:w val="0.82705489938757815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'All_XS_(m)'!$L$172:$L$180</c:f>
              <c:numCache>
                <c:formatCode>0.000</c:formatCode>
                <c:ptCount val="9"/>
                <c:pt idx="0">
                  <c:v>2.7098721697187922</c:v>
                </c:pt>
                <c:pt idx="1">
                  <c:v>4.9936854437624074</c:v>
                </c:pt>
                <c:pt idx="2">
                  <c:v>7.6852566320843811</c:v>
                </c:pt>
                <c:pt idx="3">
                  <c:v>10.493915002833923</c:v>
                </c:pt>
                <c:pt idx="4">
                  <c:v>13.760640680636048</c:v>
                </c:pt>
                <c:pt idx="5">
                  <c:v>17.375627134465006</c:v>
                </c:pt>
                <c:pt idx="6">
                  <c:v>19.605795330231668</c:v>
                </c:pt>
                <c:pt idx="7">
                  <c:v>21.682551824721834</c:v>
                </c:pt>
                <c:pt idx="8">
                  <c:v>24.059110281306388</c:v>
                </c:pt>
              </c:numCache>
            </c:numRef>
          </c:xVal>
          <c:yVal>
            <c:numRef>
              <c:f>'All_XS_(m)'!$M$172:$M$180</c:f>
              <c:numCache>
                <c:formatCode>0.000</c:formatCode>
                <c:ptCount val="9"/>
                <c:pt idx="0">
                  <c:v>0.16999793280000006</c:v>
                </c:pt>
                <c:pt idx="1">
                  <c:v>0.30480000000000002</c:v>
                </c:pt>
                <c:pt idx="2">
                  <c:v>0.48999404160000004</c:v>
                </c:pt>
                <c:pt idx="3">
                  <c:v>0.60960000000000003</c:v>
                </c:pt>
                <c:pt idx="4">
                  <c:v>0.76999063680000013</c:v>
                </c:pt>
                <c:pt idx="5">
                  <c:v>0.94488000000000005</c:v>
                </c:pt>
                <c:pt idx="6">
                  <c:v>1.0399873536000002</c:v>
                </c:pt>
                <c:pt idx="7">
                  <c:v>1.09728</c:v>
                </c:pt>
                <c:pt idx="8">
                  <c:v>1.2299850432000001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'All_XS_(m)'!$L$172:$L$180</c:f>
              <c:numCache>
                <c:formatCode>0.000</c:formatCode>
                <c:ptCount val="9"/>
                <c:pt idx="0">
                  <c:v>2.7098721697187922</c:v>
                </c:pt>
                <c:pt idx="1">
                  <c:v>4.9936854437624074</c:v>
                </c:pt>
                <c:pt idx="2">
                  <c:v>7.6852566320843811</c:v>
                </c:pt>
                <c:pt idx="3">
                  <c:v>10.493915002833923</c:v>
                </c:pt>
                <c:pt idx="4">
                  <c:v>13.760640680636048</c:v>
                </c:pt>
                <c:pt idx="5">
                  <c:v>17.375627134465006</c:v>
                </c:pt>
                <c:pt idx="6">
                  <c:v>19.605795330231668</c:v>
                </c:pt>
                <c:pt idx="7">
                  <c:v>21.682551824721834</c:v>
                </c:pt>
                <c:pt idx="8">
                  <c:v>24.059110281306388</c:v>
                </c:pt>
              </c:numCache>
            </c:numRef>
          </c:xVal>
          <c:yVal>
            <c:numRef>
              <c:f>'All_XS_(m)'!$N$172:$N$180</c:f>
              <c:numCache>
                <c:formatCode>0.000</c:formatCode>
                <c:ptCount val="9"/>
                <c:pt idx="0">
                  <c:v>5.8569758400000005E-2</c:v>
                </c:pt>
                <c:pt idx="1">
                  <c:v>0.27012503760000001</c:v>
                </c:pt>
                <c:pt idx="2">
                  <c:v>0.37482719040000007</c:v>
                </c:pt>
                <c:pt idx="3">
                  <c:v>0.51825113519999999</c:v>
                </c:pt>
                <c:pt idx="4">
                  <c:v>0.74237118480000008</c:v>
                </c:pt>
                <c:pt idx="5">
                  <c:v>0.98247890879999999</c:v>
                </c:pt>
                <c:pt idx="6">
                  <c:v>1.0960662864000001</c:v>
                </c:pt>
                <c:pt idx="7">
                  <c:v>1.1659788720000002</c:v>
                </c:pt>
                <c:pt idx="8">
                  <c:v>1.1922995712000002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49760"/>
        <c:axId val="124151296"/>
      </c:scatterChart>
      <c:valAx>
        <c:axId val="124149760"/>
        <c:scaling>
          <c:orientation val="minMax"/>
        </c:scaling>
        <c:delete val="0"/>
        <c:axPos val="b"/>
        <c:numFmt formatCode="0" sourceLinked="0"/>
        <c:majorTickMark val="in"/>
        <c:minorTickMark val="none"/>
        <c:tickLblPos val="none"/>
        <c:crossAx val="124151296"/>
        <c:crosses val="max"/>
        <c:crossBetween val="midCat"/>
      </c:valAx>
      <c:valAx>
        <c:axId val="124151296"/>
        <c:scaling>
          <c:orientation val="maxMin"/>
          <c:max val="1.3999999999999999"/>
          <c:min val="0"/>
        </c:scaling>
        <c:delete val="0"/>
        <c:axPos val="l"/>
        <c:numFmt formatCode="0.0" sourceLinked="0"/>
        <c:majorTickMark val="in"/>
        <c:minorTickMark val="none"/>
        <c:tickLblPos val="nextTo"/>
        <c:crossAx val="124149760"/>
        <c:crosses val="autoZero"/>
        <c:crossBetween val="midCat"/>
        <c:majorUnit val="0.40000000000000002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  <a:round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55" b="0.75000000000000155" header="0.30000000000000032" footer="0.30000000000000032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h. Vel XS-14</a:t>
            </a:r>
          </a:p>
        </c:rich>
      </c:tx>
      <c:layout>
        <c:manualLayout>
          <c:xMode val="edge"/>
          <c:yMode val="edge"/>
          <c:x val="0.20791666666666686"/>
          <c:y val="0.66666666666666663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23"/>
          <c:w val="0.82705489938757804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'All_XS_(m)'!$F$182:$F$191</c:f>
              <c:numCache>
                <c:formatCode>0.000</c:formatCode>
                <c:ptCount val="10"/>
                <c:pt idx="0">
                  <c:v>1.1443057895192272</c:v>
                </c:pt>
                <c:pt idx="1">
                  <c:v>3.7846497540027877</c:v>
                </c:pt>
                <c:pt idx="2">
                  <c:v>6.451955668480192</c:v>
                </c:pt>
                <c:pt idx="3">
                  <c:v>9.28031581356373</c:v>
                </c:pt>
                <c:pt idx="4">
                  <c:v>11.193895000942286</c:v>
                </c:pt>
                <c:pt idx="5">
                  <c:v>14.060432894293012</c:v>
                </c:pt>
                <c:pt idx="6">
                  <c:v>16.605600718852212</c:v>
                </c:pt>
                <c:pt idx="7">
                  <c:v>19.523082696156788</c:v>
                </c:pt>
                <c:pt idx="8">
                  <c:v>21.834756709605561</c:v>
                </c:pt>
                <c:pt idx="9">
                  <c:v>25.567268614059614</c:v>
                </c:pt>
              </c:numCache>
            </c:numRef>
          </c:xVal>
          <c:yVal>
            <c:numRef>
              <c:f>'All_XS_(m)'!$G$182:$G$191</c:f>
              <c:numCache>
                <c:formatCode>0.000</c:formatCode>
                <c:ptCount val="10"/>
                <c:pt idx="0">
                  <c:v>0.29870400000000003</c:v>
                </c:pt>
                <c:pt idx="1">
                  <c:v>0.70408800000000005</c:v>
                </c:pt>
                <c:pt idx="2">
                  <c:v>1.1186160000000001</c:v>
                </c:pt>
                <c:pt idx="3">
                  <c:v>0.86868000000000012</c:v>
                </c:pt>
                <c:pt idx="4">
                  <c:v>1.5087600000000001</c:v>
                </c:pt>
                <c:pt idx="5">
                  <c:v>1.331976</c:v>
                </c:pt>
                <c:pt idx="6">
                  <c:v>1.4996160000000001</c:v>
                </c:pt>
                <c:pt idx="7">
                  <c:v>1.2496799999999999</c:v>
                </c:pt>
                <c:pt idx="8">
                  <c:v>1.0850880000000001</c:v>
                </c:pt>
                <c:pt idx="9">
                  <c:v>0.420624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'All_XS_(m)'!$F$182:$F$191</c:f>
              <c:numCache>
                <c:formatCode>0.000</c:formatCode>
                <c:ptCount val="10"/>
                <c:pt idx="0">
                  <c:v>1.1443057895192272</c:v>
                </c:pt>
                <c:pt idx="1">
                  <c:v>3.7846497540027877</c:v>
                </c:pt>
                <c:pt idx="2">
                  <c:v>6.451955668480192</c:v>
                </c:pt>
                <c:pt idx="3">
                  <c:v>9.28031581356373</c:v>
                </c:pt>
                <c:pt idx="4">
                  <c:v>11.193895000942286</c:v>
                </c:pt>
                <c:pt idx="5">
                  <c:v>14.060432894293012</c:v>
                </c:pt>
                <c:pt idx="6">
                  <c:v>16.605600718852212</c:v>
                </c:pt>
                <c:pt idx="7">
                  <c:v>19.523082696156788</c:v>
                </c:pt>
                <c:pt idx="8">
                  <c:v>21.834756709605561</c:v>
                </c:pt>
                <c:pt idx="9">
                  <c:v>25.567268614059614</c:v>
                </c:pt>
              </c:numCache>
            </c:numRef>
          </c:xVal>
          <c:yVal>
            <c:numRef>
              <c:f>'All_XS_(m)'!$H$182:$H$191</c:f>
              <c:numCache>
                <c:formatCode>0.000</c:formatCode>
                <c:ptCount val="10"/>
                <c:pt idx="0">
                  <c:v>0.48377429280000001</c:v>
                </c:pt>
                <c:pt idx="1">
                  <c:v>0.8102044248000001</c:v>
                </c:pt>
                <c:pt idx="2">
                  <c:v>0.98125117440000009</c:v>
                </c:pt>
                <c:pt idx="3">
                  <c:v>1.1086770816</c:v>
                </c:pt>
                <c:pt idx="4">
                  <c:v>1.1554446792000002</c:v>
                </c:pt>
                <c:pt idx="5">
                  <c:v>1.17594888</c:v>
                </c:pt>
                <c:pt idx="6">
                  <c:v>1.1013890088</c:v>
                </c:pt>
                <c:pt idx="7">
                  <c:v>0.94946083920000002</c:v>
                </c:pt>
                <c:pt idx="8">
                  <c:v>0.80133657359999999</c:v>
                </c:pt>
                <c:pt idx="9">
                  <c:v>0.621968784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197120"/>
        <c:axId val="124207104"/>
      </c:scatterChart>
      <c:valAx>
        <c:axId val="124197120"/>
        <c:scaling>
          <c:orientation val="minMax"/>
        </c:scaling>
        <c:delete val="0"/>
        <c:axPos val="b"/>
        <c:numFmt formatCode="0" sourceLinked="0"/>
        <c:majorTickMark val="in"/>
        <c:minorTickMark val="none"/>
        <c:tickLblPos val="none"/>
        <c:crossAx val="124207104"/>
        <c:crosses val="autoZero"/>
        <c:crossBetween val="midCat"/>
      </c:valAx>
      <c:valAx>
        <c:axId val="124207104"/>
        <c:scaling>
          <c:orientation val="minMax"/>
        </c:scaling>
        <c:delete val="0"/>
        <c:axPos val="l"/>
        <c:numFmt formatCode="0.0" sourceLinked="0"/>
        <c:majorTickMark val="in"/>
        <c:minorTickMark val="none"/>
        <c:tickLblPos val="nextTo"/>
        <c:crossAx val="124197120"/>
        <c:crosses val="autoZero"/>
        <c:crossBetween val="midCat"/>
        <c:majorUnit val="0.40000000000000002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55" b="0.75000000000000155" header="0.30000000000000032" footer="0.30000000000000032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k. Depth XS-14</a:t>
            </a:r>
          </a:p>
        </c:rich>
      </c:tx>
      <c:layout>
        <c:manualLayout>
          <c:xMode val="edge"/>
          <c:yMode val="edge"/>
          <c:x val="0.19750000000000001"/>
          <c:y val="0.071111111111111111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51"/>
          <c:w val="0.82705489938757826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'All_XS_(m)'!$L$182:$L$191</c:f>
              <c:numCache>
                <c:formatCode>0.000</c:formatCode>
                <c:ptCount val="10"/>
                <c:pt idx="0">
                  <c:v>1.1443057895192272</c:v>
                </c:pt>
                <c:pt idx="1">
                  <c:v>3.7846497540027877</c:v>
                </c:pt>
                <c:pt idx="2">
                  <c:v>6.451955668480192</c:v>
                </c:pt>
                <c:pt idx="3">
                  <c:v>9.28031581356373</c:v>
                </c:pt>
                <c:pt idx="4">
                  <c:v>11.193895000942286</c:v>
                </c:pt>
                <c:pt idx="5">
                  <c:v>14.060432894293012</c:v>
                </c:pt>
                <c:pt idx="6">
                  <c:v>16.605600718852212</c:v>
                </c:pt>
                <c:pt idx="7">
                  <c:v>19.523082696156788</c:v>
                </c:pt>
                <c:pt idx="8">
                  <c:v>21.834756709605561</c:v>
                </c:pt>
                <c:pt idx="9">
                  <c:v>25.567268614059614</c:v>
                </c:pt>
              </c:numCache>
            </c:numRef>
          </c:xVal>
          <c:yVal>
            <c:numRef>
              <c:f>'All_XS_(m)'!$M$182:$M$191</c:f>
              <c:numCache>
                <c:formatCode>0.000</c:formatCode>
                <c:ptCount val="10"/>
                <c:pt idx="0">
                  <c:v>0.21999732480000003</c:v>
                </c:pt>
                <c:pt idx="1">
                  <c:v>0.24384000000000003</c:v>
                </c:pt>
                <c:pt idx="2">
                  <c:v>0.38999525760000009</c:v>
                </c:pt>
                <c:pt idx="3">
                  <c:v>0.36576000000000003</c:v>
                </c:pt>
                <c:pt idx="4">
                  <c:v>0.49999392000000004</c:v>
                </c:pt>
                <c:pt idx="5">
                  <c:v>0.64008000000000009</c:v>
                </c:pt>
                <c:pt idx="6">
                  <c:v>0.65999197440000013</c:v>
                </c:pt>
                <c:pt idx="7">
                  <c:v>0.45720000000000005</c:v>
                </c:pt>
                <c:pt idx="8">
                  <c:v>0.45720000000000005</c:v>
                </c:pt>
                <c:pt idx="9">
                  <c:v>0.10999866240000002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'All_XS_(m)'!$L$182:$L$191</c:f>
              <c:numCache>
                <c:formatCode>0.000</c:formatCode>
                <c:ptCount val="10"/>
                <c:pt idx="0">
                  <c:v>1.1443057895192272</c:v>
                </c:pt>
                <c:pt idx="1">
                  <c:v>3.7846497540027877</c:v>
                </c:pt>
                <c:pt idx="2">
                  <c:v>6.451955668480192</c:v>
                </c:pt>
                <c:pt idx="3">
                  <c:v>9.28031581356373</c:v>
                </c:pt>
                <c:pt idx="4">
                  <c:v>11.193895000942286</c:v>
                </c:pt>
                <c:pt idx="5">
                  <c:v>14.060432894293012</c:v>
                </c:pt>
                <c:pt idx="6">
                  <c:v>16.605600718852212</c:v>
                </c:pt>
                <c:pt idx="7">
                  <c:v>19.523082696156788</c:v>
                </c:pt>
                <c:pt idx="8">
                  <c:v>21.834756709605561</c:v>
                </c:pt>
                <c:pt idx="9">
                  <c:v>25.567268614059614</c:v>
                </c:pt>
              </c:numCache>
            </c:numRef>
          </c:xVal>
          <c:yVal>
            <c:numRef>
              <c:f>'All_XS_(m)'!$N$182:$N$191</c:f>
              <c:numCache>
                <c:formatCode>0.000</c:formatCode>
                <c:ptCount val="10"/>
                <c:pt idx="0">
                  <c:v>0.1429615632</c:v>
                </c:pt>
                <c:pt idx="1">
                  <c:v>0.36911920079999999</c:v>
                </c:pt>
                <c:pt idx="2">
                  <c:v>0.42519843840000004</c:v>
                </c:pt>
                <c:pt idx="3">
                  <c:v>0.52864725360000009</c:v>
                </c:pt>
                <c:pt idx="4">
                  <c:v>0.62179230480000014</c:v>
                </c:pt>
                <c:pt idx="5">
                  <c:v>0.75050538240000009</c:v>
                </c:pt>
                <c:pt idx="6">
                  <c:v>0.64109437439999994</c:v>
                </c:pt>
                <c:pt idx="7">
                  <c:v>0.477816672</c:v>
                </c:pt>
                <c:pt idx="8">
                  <c:v>0.34542374400000003</c:v>
                </c:pt>
                <c:pt idx="9">
                  <c:v>0.19590197040000001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73024"/>
        <c:axId val="124274560"/>
      </c:scatterChart>
      <c:valAx>
        <c:axId val="124273024"/>
        <c:scaling>
          <c:orientation val="minMax"/>
        </c:scaling>
        <c:delete val="0"/>
        <c:axPos val="b"/>
        <c:numFmt formatCode="0" sourceLinked="0"/>
        <c:majorTickMark val="in"/>
        <c:minorTickMark val="none"/>
        <c:tickLblPos val="none"/>
        <c:crossAx val="124274560"/>
        <c:crosses val="max"/>
        <c:crossBetween val="midCat"/>
      </c:valAx>
      <c:valAx>
        <c:axId val="124274560"/>
        <c:scaling>
          <c:orientation val="maxMin"/>
        </c:scaling>
        <c:delete val="0"/>
        <c:axPos val="l"/>
        <c:numFmt formatCode="0.0" sourceLinked="0"/>
        <c:majorTickMark val="in"/>
        <c:minorTickMark val="none"/>
        <c:tickLblPos val="nextTo"/>
        <c:crossAx val="124273024"/>
        <c:crosses val="autoZero"/>
        <c:crossBetween val="midCat"/>
        <c:majorUnit val="0.20000000000000001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78" b="0.75000000000000178" header="0.30000000000000032" footer="0.30000000000000032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y. Vel XS-15</a:t>
            </a:r>
          </a:p>
        </c:rich>
      </c:tx>
      <c:layout>
        <c:manualLayout>
          <c:xMode val="edge"/>
          <c:yMode val="edge"/>
          <c:x val="0.16972222222222241"/>
          <c:y val="0.06666666666666668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09"/>
          <c:w val="0.82705489938757781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'All_XS_(m)'!$F$193:$F$217</c:f>
              <c:numCache>
                <c:formatCode>0.000</c:formatCode>
                <c:ptCount val="25"/>
                <c:pt idx="0">
                  <c:v>0.85627173817819946</c:v>
                </c:pt>
                <c:pt idx="1">
                  <c:v>3.8083824739775305</c:v>
                </c:pt>
                <c:pt idx="2">
                  <c:v>6.9804722882826225</c:v>
                </c:pt>
                <c:pt idx="3">
                  <c:v>11.151770502661257</c:v>
                </c:pt>
                <c:pt idx="4">
                  <c:v>14.575285757959549</c:v>
                </c:pt>
                <c:pt idx="5">
                  <c:v>18.096083121185657</c:v>
                </c:pt>
                <c:pt idx="6">
                  <c:v>21.508146991275414</c:v>
                </c:pt>
                <c:pt idx="7">
                  <c:v>24.278067565706969</c:v>
                </c:pt>
                <c:pt idx="8">
                  <c:v>28.316680091242123</c:v>
                </c:pt>
                <c:pt idx="9">
                  <c:v>31.658335843875165</c:v>
                </c:pt>
                <c:pt idx="10">
                  <c:v>34.849382246909443</c:v>
                </c:pt>
                <c:pt idx="11">
                  <c:v>38.090907906358915</c:v>
                </c:pt>
                <c:pt idx="12">
                  <c:v>42.078296997954297</c:v>
                </c:pt>
                <c:pt idx="13">
                  <c:v>45.005323391689799</c:v>
                </c:pt>
                <c:pt idx="14">
                  <c:v>48.655794500338232</c:v>
                </c:pt>
                <c:pt idx="15">
                  <c:v>51.652525508972523</c:v>
                </c:pt>
                <c:pt idx="16">
                  <c:v>55.502291673923224</c:v>
                </c:pt>
                <c:pt idx="17">
                  <c:v>59.374253328432133</c:v>
                </c:pt>
                <c:pt idx="18">
                  <c:v>62.699923544421537</c:v>
                </c:pt>
                <c:pt idx="19">
                  <c:v>66.136323148658164</c:v>
                </c:pt>
                <c:pt idx="20">
                  <c:v>69.247465363371205</c:v>
                </c:pt>
                <c:pt idx="21">
                  <c:v>72.747553638728562</c:v>
                </c:pt>
                <c:pt idx="22">
                  <c:v>75.557310674418574</c:v>
                </c:pt>
                <c:pt idx="23">
                  <c:v>79.158361809181002</c:v>
                </c:pt>
                <c:pt idx="24">
                  <c:v>82.265493442830319</c:v>
                </c:pt>
              </c:numCache>
            </c:numRef>
          </c:xVal>
          <c:yVal>
            <c:numRef>
              <c:f>'All_XS_(m)'!$G$193:$G$217</c:f>
              <c:numCache>
                <c:formatCode>0.000</c:formatCode>
                <c:ptCount val="25"/>
                <c:pt idx="0">
                  <c:v>0.210312</c:v>
                </c:pt>
                <c:pt idx="1">
                  <c:v>0.521208</c:v>
                </c:pt>
                <c:pt idx="2">
                  <c:v>0.521208</c:v>
                </c:pt>
                <c:pt idx="3">
                  <c:v>0.68580000000000008</c:v>
                </c:pt>
                <c:pt idx="4">
                  <c:v>0.7406640000000001</c:v>
                </c:pt>
                <c:pt idx="5">
                  <c:v>0.7406640000000001</c:v>
                </c:pt>
                <c:pt idx="6">
                  <c:v>0.77114399999999994</c:v>
                </c:pt>
                <c:pt idx="7">
                  <c:v>0.85953599999999997</c:v>
                </c:pt>
                <c:pt idx="8">
                  <c:v>0.91744799999999993</c:v>
                </c:pt>
                <c:pt idx="9">
                  <c:v>0.78028800000000009</c:v>
                </c:pt>
                <c:pt idx="10">
                  <c:v>0.95097600000000004</c:v>
                </c:pt>
                <c:pt idx="11">
                  <c:v>0.91135200000000016</c:v>
                </c:pt>
                <c:pt idx="12">
                  <c:v>0.96926400000000013</c:v>
                </c:pt>
                <c:pt idx="13">
                  <c:v>0.78028800000000009</c:v>
                </c:pt>
                <c:pt idx="14">
                  <c:v>0.38709600000000005</c:v>
                </c:pt>
                <c:pt idx="15">
                  <c:v>0.17068800000000003</c:v>
                </c:pt>
                <c:pt idx="16">
                  <c:v>0.11887200000000001</c:v>
                </c:pt>
                <c:pt idx="17">
                  <c:v>0.15849600000000003</c:v>
                </c:pt>
                <c:pt idx="18">
                  <c:v>0.29870400000000003</c:v>
                </c:pt>
                <c:pt idx="19">
                  <c:v>0.27127200000000001</c:v>
                </c:pt>
                <c:pt idx="20">
                  <c:v>0.32004000000000005</c:v>
                </c:pt>
                <c:pt idx="21">
                  <c:v>0.32308800000000004</c:v>
                </c:pt>
                <c:pt idx="22">
                  <c:v>0.24993599999999999</c:v>
                </c:pt>
                <c:pt idx="23">
                  <c:v>0.155448</c:v>
                </c:pt>
                <c:pt idx="24">
                  <c:v>7.9248000000000013E-2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'All_XS_(m)'!$F$193:$F$217</c:f>
              <c:numCache>
                <c:formatCode>0.000</c:formatCode>
                <c:ptCount val="25"/>
                <c:pt idx="0">
                  <c:v>0.85627173817819946</c:v>
                </c:pt>
                <c:pt idx="1">
                  <c:v>3.8083824739775305</c:v>
                </c:pt>
                <c:pt idx="2">
                  <c:v>6.9804722882826225</c:v>
                </c:pt>
                <c:pt idx="3">
                  <c:v>11.151770502661257</c:v>
                </c:pt>
                <c:pt idx="4">
                  <c:v>14.575285757959549</c:v>
                </c:pt>
                <c:pt idx="5">
                  <c:v>18.096083121185657</c:v>
                </c:pt>
                <c:pt idx="6">
                  <c:v>21.508146991275414</c:v>
                </c:pt>
                <c:pt idx="7">
                  <c:v>24.278067565706969</c:v>
                </c:pt>
                <c:pt idx="8">
                  <c:v>28.316680091242123</c:v>
                </c:pt>
                <c:pt idx="9">
                  <c:v>31.658335843875165</c:v>
                </c:pt>
                <c:pt idx="10">
                  <c:v>34.849382246909443</c:v>
                </c:pt>
                <c:pt idx="11">
                  <c:v>38.090907906358915</c:v>
                </c:pt>
                <c:pt idx="12">
                  <c:v>42.078296997954297</c:v>
                </c:pt>
                <c:pt idx="13">
                  <c:v>45.005323391689799</c:v>
                </c:pt>
                <c:pt idx="14">
                  <c:v>48.655794500338232</c:v>
                </c:pt>
                <c:pt idx="15">
                  <c:v>51.652525508972523</c:v>
                </c:pt>
                <c:pt idx="16">
                  <c:v>55.502291673923224</c:v>
                </c:pt>
                <c:pt idx="17">
                  <c:v>59.374253328432133</c:v>
                </c:pt>
                <c:pt idx="18">
                  <c:v>62.699923544421537</c:v>
                </c:pt>
                <c:pt idx="19">
                  <c:v>66.136323148658164</c:v>
                </c:pt>
                <c:pt idx="20">
                  <c:v>69.247465363371205</c:v>
                </c:pt>
                <c:pt idx="21">
                  <c:v>72.747553638728562</c:v>
                </c:pt>
                <c:pt idx="22">
                  <c:v>75.557310674418574</c:v>
                </c:pt>
                <c:pt idx="23">
                  <c:v>79.158361809181002</c:v>
                </c:pt>
                <c:pt idx="24">
                  <c:v>82.265493442830319</c:v>
                </c:pt>
              </c:numCache>
            </c:numRef>
          </c:xVal>
          <c:yVal>
            <c:numRef>
              <c:f>'All_XS_(m)'!$H$193:$H$217</c:f>
              <c:numCache>
                <c:formatCode>0.000</c:formatCode>
                <c:ptCount val="25"/>
                <c:pt idx="0">
                  <c:v>0</c:v>
                </c:pt>
                <c:pt idx="1">
                  <c:v>0.12654838800000001</c:v>
                </c:pt>
                <c:pt idx="2">
                  <c:v>0.49872138000000005</c:v>
                </c:pt>
                <c:pt idx="3">
                  <c:v>0.70243567920000005</c:v>
                </c:pt>
                <c:pt idx="4">
                  <c:v>0.77418194159999998</c:v>
                </c:pt>
                <c:pt idx="5">
                  <c:v>0.80811410640000003</c:v>
                </c:pt>
                <c:pt idx="6">
                  <c:v>0.8317211712</c:v>
                </c:pt>
                <c:pt idx="7">
                  <c:v>0.85615028160000006</c:v>
                </c:pt>
                <c:pt idx="8">
                  <c:v>0.88163643840000006</c:v>
                </c:pt>
                <c:pt idx="9">
                  <c:v>0.89863086720000007</c:v>
                </c:pt>
                <c:pt idx="10">
                  <c:v>0.92366165280000001</c:v>
                </c:pt>
                <c:pt idx="11">
                  <c:v>0.9387964968000001</c:v>
                </c:pt>
                <c:pt idx="12">
                  <c:v>0.90425198880000002</c:v>
                </c:pt>
                <c:pt idx="13">
                  <c:v>0.85162064879999999</c:v>
                </c:pt>
                <c:pt idx="14">
                  <c:v>0.71685668160000005</c:v>
                </c:pt>
                <c:pt idx="15">
                  <c:v>0.55399411679999999</c:v>
                </c:pt>
                <c:pt idx="16">
                  <c:v>0.27945222240000001</c:v>
                </c:pt>
                <c:pt idx="17">
                  <c:v>0.2055613872</c:v>
                </c:pt>
                <c:pt idx="18">
                  <c:v>0.24577578480000004</c:v>
                </c:pt>
                <c:pt idx="19">
                  <c:v>0.22610460239999999</c:v>
                </c:pt>
                <c:pt idx="20">
                  <c:v>0.20414193360000002</c:v>
                </c:pt>
                <c:pt idx="21">
                  <c:v>0.1779550416</c:v>
                </c:pt>
                <c:pt idx="22">
                  <c:v>0.16054120800000002</c:v>
                </c:pt>
                <c:pt idx="23">
                  <c:v>0.11679570239999999</c:v>
                </c:pt>
                <c:pt idx="24">
                  <c:v>4.4305727999999996E-2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11808"/>
        <c:axId val="124321792"/>
      </c:scatterChart>
      <c:valAx>
        <c:axId val="124311808"/>
        <c:scaling>
          <c:orientation val="minMax"/>
          <c:max val="90"/>
        </c:scaling>
        <c:delete val="0"/>
        <c:axPos val="b"/>
        <c:numFmt formatCode="0" sourceLinked="0"/>
        <c:majorTickMark val="in"/>
        <c:minorTickMark val="none"/>
        <c:tickLblPos val="none"/>
        <c:crossAx val="124321792"/>
        <c:crosses val="autoZero"/>
        <c:crossBetween val="midCat"/>
        <c:majorUnit val="45"/>
      </c:valAx>
      <c:valAx>
        <c:axId val="124321792"/>
        <c:scaling>
          <c:orientation val="minMax"/>
        </c:scaling>
        <c:delete val="0"/>
        <c:axPos val="l"/>
        <c:numFmt formatCode="0.0" sourceLinked="0"/>
        <c:majorTickMark val="in"/>
        <c:minorTickMark val="none"/>
        <c:tickLblPos val="nextTo"/>
        <c:crossAx val="12431180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33" b="0.75000000000000133" header="0.30000000000000032" footer="0.30000000000000032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bb. Depth XS-15</a:t>
            </a:r>
          </a:p>
        </c:rich>
      </c:tx>
      <c:layout>
        <c:manualLayout>
          <c:xMode val="edge"/>
          <c:yMode val="edge"/>
          <c:x val="0.51694444444444465"/>
          <c:y val="0.70222222222222219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23"/>
          <c:w val="0.82705489938757804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'All_XS_(m)'!$L$193:$L$217</c:f>
              <c:numCache>
                <c:formatCode>0.000</c:formatCode>
                <c:ptCount val="25"/>
                <c:pt idx="0">
                  <c:v>0.85627173817819946</c:v>
                </c:pt>
                <c:pt idx="1">
                  <c:v>3.8083824739775305</c:v>
                </c:pt>
                <c:pt idx="2">
                  <c:v>6.9804722882826225</c:v>
                </c:pt>
                <c:pt idx="3">
                  <c:v>11.151770502661257</c:v>
                </c:pt>
                <c:pt idx="4">
                  <c:v>14.575285757959549</c:v>
                </c:pt>
                <c:pt idx="5">
                  <c:v>18.096083121185657</c:v>
                </c:pt>
                <c:pt idx="6">
                  <c:v>21.508146991275414</c:v>
                </c:pt>
                <c:pt idx="7">
                  <c:v>24.278067565706969</c:v>
                </c:pt>
                <c:pt idx="8">
                  <c:v>28.316680091242123</c:v>
                </c:pt>
                <c:pt idx="9">
                  <c:v>31.658335843875165</c:v>
                </c:pt>
                <c:pt idx="10">
                  <c:v>34.849382246909443</c:v>
                </c:pt>
                <c:pt idx="11">
                  <c:v>38.090907906358915</c:v>
                </c:pt>
                <c:pt idx="12">
                  <c:v>42.078296997954297</c:v>
                </c:pt>
                <c:pt idx="13">
                  <c:v>45.005323391689799</c:v>
                </c:pt>
                <c:pt idx="14">
                  <c:v>48.655794500338232</c:v>
                </c:pt>
                <c:pt idx="15">
                  <c:v>51.652525508972523</c:v>
                </c:pt>
                <c:pt idx="16">
                  <c:v>55.502291673923224</c:v>
                </c:pt>
                <c:pt idx="17">
                  <c:v>59.374253328432133</c:v>
                </c:pt>
                <c:pt idx="18">
                  <c:v>62.699923544421537</c:v>
                </c:pt>
                <c:pt idx="19">
                  <c:v>66.136323148658164</c:v>
                </c:pt>
                <c:pt idx="20">
                  <c:v>69.247465363371205</c:v>
                </c:pt>
                <c:pt idx="21">
                  <c:v>72.747553638728562</c:v>
                </c:pt>
                <c:pt idx="22">
                  <c:v>75.557310674418574</c:v>
                </c:pt>
                <c:pt idx="23">
                  <c:v>79.158361809181002</c:v>
                </c:pt>
                <c:pt idx="24">
                  <c:v>82.265493442830319</c:v>
                </c:pt>
              </c:numCache>
            </c:numRef>
          </c:xVal>
          <c:yVal>
            <c:numRef>
              <c:f>'All_XS_(m)'!$M$193:$M$217</c:f>
              <c:numCache>
                <c:formatCode>0.000</c:formatCode>
                <c:ptCount val="25"/>
                <c:pt idx="0">
                  <c:v>0.25999683840000004</c:v>
                </c:pt>
                <c:pt idx="1">
                  <c:v>0.51816000000000006</c:v>
                </c:pt>
                <c:pt idx="2">
                  <c:v>0.38999525760000009</c:v>
                </c:pt>
                <c:pt idx="3">
                  <c:v>0.30480000000000002</c:v>
                </c:pt>
                <c:pt idx="4">
                  <c:v>0.48999404160000004</c:v>
                </c:pt>
                <c:pt idx="5">
                  <c:v>0.67999173120000023</c:v>
                </c:pt>
                <c:pt idx="6">
                  <c:v>0.73152000000000006</c:v>
                </c:pt>
                <c:pt idx="7">
                  <c:v>1.0199875968000001</c:v>
                </c:pt>
                <c:pt idx="8">
                  <c:v>0.97536000000000012</c:v>
                </c:pt>
                <c:pt idx="9">
                  <c:v>0.699991488</c:v>
                </c:pt>
                <c:pt idx="10">
                  <c:v>0.60960000000000003</c:v>
                </c:pt>
                <c:pt idx="11">
                  <c:v>0.64999209600000007</c:v>
                </c:pt>
                <c:pt idx="12">
                  <c:v>0.51816000000000006</c:v>
                </c:pt>
                <c:pt idx="13">
                  <c:v>0.52999355520000002</c:v>
                </c:pt>
                <c:pt idx="14">
                  <c:v>0.30480000000000002</c:v>
                </c:pt>
                <c:pt idx="15">
                  <c:v>0.1199985408</c:v>
                </c:pt>
                <c:pt idx="16">
                  <c:v>0.12999841920000002</c:v>
                </c:pt>
                <c:pt idx="17">
                  <c:v>0.12999841920000002</c:v>
                </c:pt>
                <c:pt idx="18">
                  <c:v>0.19999756800000004</c:v>
                </c:pt>
                <c:pt idx="19">
                  <c:v>0.36576000000000003</c:v>
                </c:pt>
                <c:pt idx="20">
                  <c:v>0.46999428480000005</c:v>
                </c:pt>
                <c:pt idx="21">
                  <c:v>0.48768000000000006</c:v>
                </c:pt>
                <c:pt idx="22">
                  <c:v>0.61999246080000003</c:v>
                </c:pt>
                <c:pt idx="23">
                  <c:v>0.36576000000000003</c:v>
                </c:pt>
                <c:pt idx="24">
                  <c:v>0.18999768960000002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'All_XS_(m)'!$L$193:$L$217</c:f>
              <c:numCache>
                <c:formatCode>0.000</c:formatCode>
                <c:ptCount val="25"/>
                <c:pt idx="0">
                  <c:v>0.85627173817819946</c:v>
                </c:pt>
                <c:pt idx="1">
                  <c:v>3.8083824739775305</c:v>
                </c:pt>
                <c:pt idx="2">
                  <c:v>6.9804722882826225</c:v>
                </c:pt>
                <c:pt idx="3">
                  <c:v>11.151770502661257</c:v>
                </c:pt>
                <c:pt idx="4">
                  <c:v>14.575285757959549</c:v>
                </c:pt>
                <c:pt idx="5">
                  <c:v>18.096083121185657</c:v>
                </c:pt>
                <c:pt idx="6">
                  <c:v>21.508146991275414</c:v>
                </c:pt>
                <c:pt idx="7">
                  <c:v>24.278067565706969</c:v>
                </c:pt>
                <c:pt idx="8">
                  <c:v>28.316680091242123</c:v>
                </c:pt>
                <c:pt idx="9">
                  <c:v>31.658335843875165</c:v>
                </c:pt>
                <c:pt idx="10">
                  <c:v>34.849382246909443</c:v>
                </c:pt>
                <c:pt idx="11">
                  <c:v>38.090907906358915</c:v>
                </c:pt>
                <c:pt idx="12">
                  <c:v>42.078296997954297</c:v>
                </c:pt>
                <c:pt idx="13">
                  <c:v>45.005323391689799</c:v>
                </c:pt>
                <c:pt idx="14">
                  <c:v>48.655794500338232</c:v>
                </c:pt>
                <c:pt idx="15">
                  <c:v>51.652525508972523</c:v>
                </c:pt>
                <c:pt idx="16">
                  <c:v>55.502291673923224</c:v>
                </c:pt>
                <c:pt idx="17">
                  <c:v>59.374253328432133</c:v>
                </c:pt>
                <c:pt idx="18">
                  <c:v>62.699923544421537</c:v>
                </c:pt>
                <c:pt idx="19">
                  <c:v>66.136323148658164</c:v>
                </c:pt>
                <c:pt idx="20">
                  <c:v>69.247465363371205</c:v>
                </c:pt>
                <c:pt idx="21">
                  <c:v>72.747553638728562</c:v>
                </c:pt>
                <c:pt idx="22">
                  <c:v>75.557310674418574</c:v>
                </c:pt>
                <c:pt idx="23">
                  <c:v>79.158361809181002</c:v>
                </c:pt>
                <c:pt idx="24">
                  <c:v>82.265493442830319</c:v>
                </c:pt>
              </c:numCache>
            </c:numRef>
          </c:xVal>
          <c:yVal>
            <c:numRef>
              <c:f>'All_XS_(m)'!$N$193:$N$217</c:f>
              <c:numCache>
                <c:formatCode>0.000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0.17847259199999999</c:v>
                </c:pt>
                <c:pt idx="3">
                  <c:v>0.45986547600000005</c:v>
                </c:pt>
                <c:pt idx="4">
                  <c:v>0.52808002080000005</c:v>
                </c:pt>
                <c:pt idx="5">
                  <c:v>0.72589217280000007</c:v>
                </c:pt>
                <c:pt idx="6">
                  <c:v>0.72752620560000003</c:v>
                </c:pt>
                <c:pt idx="7">
                  <c:v>0.7328053416000001</c:v>
                </c:pt>
                <c:pt idx="8">
                  <c:v>0.73219665599999995</c:v>
                </c:pt>
                <c:pt idx="9">
                  <c:v>0.7476966504</c:v>
                </c:pt>
                <c:pt idx="10">
                  <c:v>0.73821828479999996</c:v>
                </c:pt>
                <c:pt idx="11">
                  <c:v>0.64984914480000011</c:v>
                </c:pt>
                <c:pt idx="12">
                  <c:v>0.56375289839999998</c:v>
                </c:pt>
                <c:pt idx="13">
                  <c:v>0.39194323440000001</c:v>
                </c:pt>
                <c:pt idx="14">
                  <c:v>0.23634131040000003</c:v>
                </c:pt>
                <c:pt idx="15">
                  <c:v>0.15930951120000003</c:v>
                </c:pt>
                <c:pt idx="16">
                  <c:v>0.1171882848</c:v>
                </c:pt>
                <c:pt idx="17">
                  <c:v>0.1131426744</c:v>
                </c:pt>
                <c:pt idx="18">
                  <c:v>0.17520513600000001</c:v>
                </c:pt>
                <c:pt idx="19">
                  <c:v>0.29634454320000003</c:v>
                </c:pt>
                <c:pt idx="20">
                  <c:v>0.40114849920000001</c:v>
                </c:pt>
                <c:pt idx="21">
                  <c:v>0.55249358640000001</c:v>
                </c:pt>
                <c:pt idx="22">
                  <c:v>0.51252455279999998</c:v>
                </c:pt>
                <c:pt idx="23">
                  <c:v>0.2834140128</c:v>
                </c:pt>
                <c:pt idx="24">
                  <c:v>4.8045319199999999E-2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59424"/>
        <c:axId val="124360960"/>
      </c:scatterChart>
      <c:valAx>
        <c:axId val="124359424"/>
        <c:scaling>
          <c:orientation val="minMax"/>
          <c:max val="90"/>
        </c:scaling>
        <c:delete val="0"/>
        <c:axPos val="b"/>
        <c:numFmt formatCode="0" sourceLinked="0"/>
        <c:majorTickMark val="in"/>
        <c:minorTickMark val="none"/>
        <c:tickLblPos val="nextTo"/>
        <c:crossAx val="124360960"/>
        <c:crosses val="max"/>
        <c:crossBetween val="midCat"/>
        <c:majorUnit val="45"/>
      </c:valAx>
      <c:valAx>
        <c:axId val="124360960"/>
        <c:scaling>
          <c:orientation val="maxMin"/>
        </c:scaling>
        <c:delete val="0"/>
        <c:axPos val="l"/>
        <c:numFmt formatCode="0.0" sourceLinked="0"/>
        <c:majorTickMark val="in"/>
        <c:minorTickMark val="none"/>
        <c:tickLblPos val="nextTo"/>
        <c:crossAx val="124359424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55" b="0.75000000000000155" header="0.30000000000000032" footer="0.30000000000000032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t. Vel XS-16</a:t>
            </a:r>
          </a:p>
        </c:rich>
      </c:tx>
      <c:layout>
        <c:manualLayout>
          <c:xMode val="edge"/>
          <c:yMode val="edge"/>
          <c:x val="0.1488888888888889"/>
          <c:y val="0.68888888888888933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23"/>
          <c:w val="0.82705489938757804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'All_XS_(m)'!$F$219:$F$230</c:f>
              <c:numCache>
                <c:formatCode>0.000</c:formatCode>
                <c:ptCount val="12"/>
                <c:pt idx="0">
                  <c:v>1.5883413436176155</c:v>
                </c:pt>
                <c:pt idx="1">
                  <c:v>4.2710541575663976</c:v>
                </c:pt>
                <c:pt idx="2">
                  <c:v>6.8150971334215926</c:v>
                </c:pt>
                <c:pt idx="3">
                  <c:v>9.947648034290939</c:v>
                </c:pt>
                <c:pt idx="4">
                  <c:v>12.775104562886995</c:v>
                </c:pt>
                <c:pt idx="5">
                  <c:v>16.141737886045266</c:v>
                </c:pt>
                <c:pt idx="6">
                  <c:v>18.916511768377148</c:v>
                </c:pt>
                <c:pt idx="7">
                  <c:v>21.949853742773282</c:v>
                </c:pt>
                <c:pt idx="8">
                  <c:v>24.934658442388155</c:v>
                </c:pt>
                <c:pt idx="9">
                  <c:v>28.140692138748111</c:v>
                </c:pt>
                <c:pt idx="10">
                  <c:v>31.416065762609815</c:v>
                </c:pt>
                <c:pt idx="11">
                  <c:v>35.500570139785545</c:v>
                </c:pt>
              </c:numCache>
            </c:numRef>
          </c:xVal>
          <c:yVal>
            <c:numRef>
              <c:f>'All_XS_(m)'!$G$219:$G$230</c:f>
              <c:numCache>
                <c:formatCode>0.000</c:formatCode>
                <c:ptCount val="12"/>
                <c:pt idx="0">
                  <c:v>0.24993599999999999</c:v>
                </c:pt>
                <c:pt idx="1">
                  <c:v>0.53644800000000004</c:v>
                </c:pt>
                <c:pt idx="2">
                  <c:v>0.59131200000000006</c:v>
                </c:pt>
                <c:pt idx="3">
                  <c:v>0.63703200000000004</c:v>
                </c:pt>
                <c:pt idx="4">
                  <c:v>0.661416</c:v>
                </c:pt>
                <c:pt idx="5">
                  <c:v>0.75285600000000008</c:v>
                </c:pt>
                <c:pt idx="6">
                  <c:v>0.71018400000000004</c:v>
                </c:pt>
                <c:pt idx="7">
                  <c:v>0.81991199999999997</c:v>
                </c:pt>
                <c:pt idx="8">
                  <c:v>0.63093599999999994</c:v>
                </c:pt>
                <c:pt idx="9">
                  <c:v>0.521208</c:v>
                </c:pt>
                <c:pt idx="10">
                  <c:v>0.65532000000000001</c:v>
                </c:pt>
                <c:pt idx="11">
                  <c:v>7.0104E-2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'All_XS_(m)'!$F$219:$F$230</c:f>
              <c:numCache>
                <c:formatCode>0.000</c:formatCode>
                <c:ptCount val="12"/>
                <c:pt idx="0">
                  <c:v>1.5883413436176155</c:v>
                </c:pt>
                <c:pt idx="1">
                  <c:v>4.2710541575663976</c:v>
                </c:pt>
                <c:pt idx="2">
                  <c:v>6.8150971334215926</c:v>
                </c:pt>
                <c:pt idx="3">
                  <c:v>9.947648034290939</c:v>
                </c:pt>
                <c:pt idx="4">
                  <c:v>12.775104562886995</c:v>
                </c:pt>
                <c:pt idx="5">
                  <c:v>16.141737886045266</c:v>
                </c:pt>
                <c:pt idx="6">
                  <c:v>18.916511768377148</c:v>
                </c:pt>
                <c:pt idx="7">
                  <c:v>21.949853742773282</c:v>
                </c:pt>
                <c:pt idx="8">
                  <c:v>24.934658442388155</c:v>
                </c:pt>
                <c:pt idx="9">
                  <c:v>28.140692138748111</c:v>
                </c:pt>
                <c:pt idx="10">
                  <c:v>31.416065762609815</c:v>
                </c:pt>
                <c:pt idx="11">
                  <c:v>35.500570139785545</c:v>
                </c:pt>
              </c:numCache>
            </c:numRef>
          </c:xVal>
          <c:yVal>
            <c:numRef>
              <c:f>'All_XS_(m)'!$H$219:$H$230</c:f>
              <c:numCache>
                <c:formatCode>0.000</c:formatCode>
                <c:ptCount val="12"/>
                <c:pt idx="0">
                  <c:v>0.31826697840000007</c:v>
                </c:pt>
                <c:pt idx="1">
                  <c:v>0.51965900639999996</c:v>
                </c:pt>
                <c:pt idx="2">
                  <c:v>0.6419688456</c:v>
                </c:pt>
                <c:pt idx="3">
                  <c:v>0.70136887920000002</c:v>
                </c:pt>
                <c:pt idx="4">
                  <c:v>0.73168428720000012</c:v>
                </c:pt>
                <c:pt idx="5">
                  <c:v>0.77156157599999997</c:v>
                </c:pt>
                <c:pt idx="6">
                  <c:v>0.83159559360000002</c:v>
                </c:pt>
                <c:pt idx="7">
                  <c:v>0.87497930160000004</c:v>
                </c:pt>
                <c:pt idx="8">
                  <c:v>0.83825821680000001</c:v>
                </c:pt>
                <c:pt idx="9">
                  <c:v>0.76926277440000002</c:v>
                </c:pt>
                <c:pt idx="10">
                  <c:v>0.70430806560000003</c:v>
                </c:pt>
                <c:pt idx="11">
                  <c:v>0.68080615680000001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386304"/>
        <c:axId val="124424960"/>
      </c:scatterChart>
      <c:valAx>
        <c:axId val="124386304"/>
        <c:scaling>
          <c:orientation val="minMax"/>
        </c:scaling>
        <c:delete val="0"/>
        <c:axPos val="b"/>
        <c:numFmt formatCode="0" sourceLinked="0"/>
        <c:majorTickMark val="in"/>
        <c:minorTickMark val="none"/>
        <c:tickLblPos val="none"/>
        <c:crossAx val="124424960"/>
        <c:crosses val="autoZero"/>
        <c:crossBetween val="midCat"/>
      </c:valAx>
      <c:valAx>
        <c:axId val="124424960"/>
        <c:scaling>
          <c:orientation val="minMax"/>
          <c:max val="0.90000000000000002"/>
        </c:scaling>
        <c:delete val="0"/>
        <c:axPos val="l"/>
        <c:numFmt formatCode="0.0" sourceLinked="0"/>
        <c:majorTickMark val="in"/>
        <c:minorTickMark val="none"/>
        <c:tickLblPos val="nextTo"/>
        <c:crossAx val="124386304"/>
        <c:crosses val="autoZero"/>
        <c:crossBetween val="midCat"/>
        <c:majorUnit val="0.30000000000000032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55" b="0.75000000000000155" header="0.30000000000000032" footer="0.30000000000000032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w. Depth XS-16</a:t>
            </a:r>
          </a:p>
        </c:rich>
      </c:tx>
      <c:layout>
        <c:manualLayout>
          <c:xMode val="edge"/>
          <c:yMode val="edge"/>
          <c:x val="0.55166666666666653"/>
          <c:y val="0.048888888888888891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23"/>
          <c:w val="0.82705489938757804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'All_XS_(m)'!$L$219:$L$230</c:f>
              <c:numCache>
                <c:formatCode>0.000</c:formatCode>
                <c:ptCount val="12"/>
                <c:pt idx="0">
                  <c:v>1.5883413436176155</c:v>
                </c:pt>
                <c:pt idx="1">
                  <c:v>4.2710541575663976</c:v>
                </c:pt>
                <c:pt idx="2">
                  <c:v>6.8150971334215926</c:v>
                </c:pt>
                <c:pt idx="3">
                  <c:v>9.947648034290939</c:v>
                </c:pt>
                <c:pt idx="4">
                  <c:v>12.775104562886995</c:v>
                </c:pt>
                <c:pt idx="5">
                  <c:v>16.141737886045266</c:v>
                </c:pt>
                <c:pt idx="6">
                  <c:v>18.916511768377148</c:v>
                </c:pt>
                <c:pt idx="7">
                  <c:v>21.949853742773282</c:v>
                </c:pt>
                <c:pt idx="8">
                  <c:v>24.934658442388155</c:v>
                </c:pt>
                <c:pt idx="9">
                  <c:v>28.140692138748111</c:v>
                </c:pt>
                <c:pt idx="10">
                  <c:v>31.416065762609815</c:v>
                </c:pt>
                <c:pt idx="11">
                  <c:v>35.500570139785545</c:v>
                </c:pt>
              </c:numCache>
            </c:numRef>
          </c:xVal>
          <c:yVal>
            <c:numRef>
              <c:f>'All_XS_(m)'!$M$219:$M$230</c:f>
              <c:numCache>
                <c:formatCode>0.000</c:formatCode>
                <c:ptCount val="12"/>
                <c:pt idx="0">
                  <c:v>0.25999683840000004</c:v>
                </c:pt>
                <c:pt idx="1">
                  <c:v>0.42671999999999999</c:v>
                </c:pt>
                <c:pt idx="2">
                  <c:v>0.46999428480000005</c:v>
                </c:pt>
                <c:pt idx="3">
                  <c:v>0.54864000000000002</c:v>
                </c:pt>
                <c:pt idx="4">
                  <c:v>0.46999428480000005</c:v>
                </c:pt>
                <c:pt idx="5">
                  <c:v>0.64008000000000009</c:v>
                </c:pt>
                <c:pt idx="6">
                  <c:v>0.64999209600000007</c:v>
                </c:pt>
                <c:pt idx="7">
                  <c:v>0.64008000000000009</c:v>
                </c:pt>
                <c:pt idx="8">
                  <c:v>0.60999258240000009</c:v>
                </c:pt>
                <c:pt idx="9">
                  <c:v>0.33528000000000002</c:v>
                </c:pt>
                <c:pt idx="10">
                  <c:v>0.24384000000000003</c:v>
                </c:pt>
                <c:pt idx="11">
                  <c:v>0.1199985408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'All_XS_(m)'!$L$219:$L$230</c:f>
              <c:numCache>
                <c:formatCode>0.000</c:formatCode>
                <c:ptCount val="12"/>
                <c:pt idx="0">
                  <c:v>1.5883413436176155</c:v>
                </c:pt>
                <c:pt idx="1">
                  <c:v>4.2710541575663976</c:v>
                </c:pt>
                <c:pt idx="2">
                  <c:v>6.8150971334215926</c:v>
                </c:pt>
                <c:pt idx="3">
                  <c:v>9.947648034290939</c:v>
                </c:pt>
                <c:pt idx="4">
                  <c:v>12.775104562886995</c:v>
                </c:pt>
                <c:pt idx="5">
                  <c:v>16.141737886045266</c:v>
                </c:pt>
                <c:pt idx="6">
                  <c:v>18.916511768377148</c:v>
                </c:pt>
                <c:pt idx="7">
                  <c:v>21.949853742773282</c:v>
                </c:pt>
                <c:pt idx="8">
                  <c:v>24.934658442388155</c:v>
                </c:pt>
                <c:pt idx="9">
                  <c:v>28.140692138748111</c:v>
                </c:pt>
                <c:pt idx="10">
                  <c:v>31.416065762609815</c:v>
                </c:pt>
                <c:pt idx="11">
                  <c:v>35.500570139785545</c:v>
                </c:pt>
              </c:numCache>
            </c:numRef>
          </c:xVal>
          <c:yVal>
            <c:numRef>
              <c:f>'All_XS_(m)'!$N$219:$N$230</c:f>
              <c:numCache>
                <c:formatCode>0.000</c:formatCode>
                <c:ptCount val="12"/>
                <c:pt idx="0">
                  <c:v>2.4831446400000002E-2</c:v>
                </c:pt>
                <c:pt idx="1">
                  <c:v>0.42409719600000001</c:v>
                </c:pt>
                <c:pt idx="2">
                  <c:v>0.41835964080000004</c:v>
                </c:pt>
                <c:pt idx="3">
                  <c:v>0.39091362000000002</c:v>
                </c:pt>
                <c:pt idx="4">
                  <c:v>0.35819852160000004</c:v>
                </c:pt>
                <c:pt idx="5">
                  <c:v>0.45707228880000006</c:v>
                </c:pt>
                <c:pt idx="6">
                  <c:v>0.50946344639999996</c:v>
                </c:pt>
                <c:pt idx="7">
                  <c:v>0.45776662320000006</c:v>
                </c:pt>
                <c:pt idx="8">
                  <c:v>0.35805038880000001</c:v>
                </c:pt>
                <c:pt idx="9">
                  <c:v>0.27898648799999998</c:v>
                </c:pt>
                <c:pt idx="10">
                  <c:v>0.21229411440000001</c:v>
                </c:pt>
                <c:pt idx="11">
                  <c:v>0.12258111120000001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66688"/>
        <c:axId val="124468224"/>
      </c:scatterChart>
      <c:valAx>
        <c:axId val="124466688"/>
        <c:scaling>
          <c:orientation val="minMax"/>
        </c:scaling>
        <c:delete val="0"/>
        <c:axPos val="b"/>
        <c:numFmt formatCode="0" sourceLinked="0"/>
        <c:majorTickMark val="in"/>
        <c:minorTickMark val="none"/>
        <c:tickLblPos val="none"/>
        <c:crossAx val="124468224"/>
        <c:crosses val="max"/>
        <c:crossBetween val="midCat"/>
      </c:valAx>
      <c:valAx>
        <c:axId val="124468224"/>
        <c:scaling>
          <c:orientation val="maxMin"/>
        </c:scaling>
        <c:delete val="0"/>
        <c:axPos val="l"/>
        <c:numFmt formatCode="0.0" sourceLinked="0"/>
        <c:majorTickMark val="in"/>
        <c:minorTickMark val="none"/>
        <c:tickLblPos val="nextTo"/>
        <c:crossAx val="124466688"/>
        <c:crosses val="autoZero"/>
        <c:crossBetween val="midCat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55" b="0.75000000000000155" header="0.30000000000000032" footer="0.30000000000000032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n. Vel XS-17</a:t>
            </a:r>
          </a:p>
        </c:rich>
      </c:tx>
      <c:layout>
        <c:manualLayout>
          <c:xMode val="edge"/>
          <c:yMode val="edge"/>
          <c:x val="0.60722222222222222"/>
          <c:y val="0.67111111111111177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23"/>
          <c:w val="0.82705489938757804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'All_XS_(m)'!$F$232:$F$238</c:f>
              <c:numCache>
                <c:formatCode>0.000</c:formatCode>
                <c:ptCount val="7"/>
                <c:pt idx="0">
                  <c:v>0.92492231725780627</c:v>
                </c:pt>
                <c:pt idx="1">
                  <c:v>3.6031161106172278</c:v>
                </c:pt>
                <c:pt idx="2">
                  <c:v>7.1008729033916165</c:v>
                </c:pt>
                <c:pt idx="3">
                  <c:v>10.508565829302697</c:v>
                </c:pt>
                <c:pt idx="4">
                  <c:v>13.697311423798697</c:v>
                </c:pt>
                <c:pt idx="5">
                  <c:v>16.738625923734311</c:v>
                </c:pt>
                <c:pt idx="6">
                  <c:v>19.512659904630603</c:v>
                </c:pt>
              </c:numCache>
            </c:numRef>
          </c:xVal>
          <c:yVal>
            <c:numRef>
              <c:f>'All_XS_(m)'!$G$232:$G$238</c:f>
              <c:numCache>
                <c:formatCode>0.000</c:formatCode>
                <c:ptCount val="7"/>
                <c:pt idx="0">
                  <c:v>0.46939200000000003</c:v>
                </c:pt>
                <c:pt idx="1">
                  <c:v>1.1490960000000001</c:v>
                </c:pt>
                <c:pt idx="2">
                  <c:v>1.3594079999999999</c:v>
                </c:pt>
                <c:pt idx="3">
                  <c:v>1.2649200000000003</c:v>
                </c:pt>
                <c:pt idx="4">
                  <c:v>0.98145600000000011</c:v>
                </c:pt>
                <c:pt idx="5">
                  <c:v>1.0515600000000001</c:v>
                </c:pt>
                <c:pt idx="6">
                  <c:v>1.2192000000000001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'All_XS_(m)'!$F$232:$F$238</c:f>
              <c:numCache>
                <c:formatCode>0.000</c:formatCode>
                <c:ptCount val="7"/>
                <c:pt idx="0">
                  <c:v>0.92492231725780627</c:v>
                </c:pt>
                <c:pt idx="1">
                  <c:v>3.6031161106172278</c:v>
                </c:pt>
                <c:pt idx="2">
                  <c:v>7.1008729033916165</c:v>
                </c:pt>
                <c:pt idx="3">
                  <c:v>10.508565829302697</c:v>
                </c:pt>
                <c:pt idx="4">
                  <c:v>13.697311423798697</c:v>
                </c:pt>
                <c:pt idx="5">
                  <c:v>16.738625923734311</c:v>
                </c:pt>
                <c:pt idx="6">
                  <c:v>19.512659904630603</c:v>
                </c:pt>
              </c:numCache>
            </c:numRef>
          </c:xVal>
          <c:yVal>
            <c:numRef>
              <c:f>'All_XS_(m)'!$H$232:$H$238</c:f>
              <c:numCache>
                <c:formatCode>0.000</c:formatCode>
                <c:ptCount val="7"/>
                <c:pt idx="0">
                  <c:v>8.90016E-2</c:v>
                </c:pt>
                <c:pt idx="1">
                  <c:v>0.2172084048</c:v>
                </c:pt>
                <c:pt idx="2">
                  <c:v>1.3641720239999999</c:v>
                </c:pt>
                <c:pt idx="3">
                  <c:v>1.5127123416000001</c:v>
                </c:pt>
                <c:pt idx="4">
                  <c:v>1.4415564768000002</c:v>
                </c:pt>
                <c:pt idx="5">
                  <c:v>1.3455749567999999</c:v>
                </c:pt>
                <c:pt idx="6">
                  <c:v>1.3150937376000003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17760"/>
        <c:axId val="124544128"/>
      </c:scatterChart>
      <c:valAx>
        <c:axId val="124517760"/>
        <c:scaling>
          <c:orientation val="minMax"/>
        </c:scaling>
        <c:delete val="0"/>
        <c:axPos val="b"/>
        <c:numFmt formatCode="0" sourceLinked="0"/>
        <c:majorTickMark val="in"/>
        <c:minorTickMark val="none"/>
        <c:tickLblPos val="none"/>
        <c:crossAx val="124544128"/>
        <c:crosses val="autoZero"/>
        <c:crossBetween val="midCat"/>
      </c:valAx>
      <c:valAx>
        <c:axId val="124544128"/>
        <c:scaling>
          <c:orientation val="minMax"/>
        </c:scaling>
        <c:delete val="0"/>
        <c:axPos val="l"/>
        <c:numFmt formatCode="0.0" sourceLinked="0"/>
        <c:majorTickMark val="in"/>
        <c:minorTickMark val="none"/>
        <c:tickLblPos val="nextTo"/>
        <c:crossAx val="124517760"/>
        <c:crosses val="autoZero"/>
        <c:crossBetween val="midCat"/>
        <c:majorUnit val="0.40000000000000002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55" b="0.75000000000000155" header="0.30000000000000032" footer="0.30000000000000032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 algn="l">
              <a:defRPr/>
            </a:pPr>
            <a:r>
              <a:rPr lang="en-US"/>
              <a:t>q. Depth XS-17</a:t>
            </a:r>
          </a:p>
        </c:rich>
      </c:tx>
      <c:layout>
        <c:manualLayout>
          <c:xMode val="edge"/>
          <c:yMode val="edge"/>
          <c:x val="0.55513888888888885"/>
          <c:y val="0.080000000000000043"/>
        </c:manualLayout>
      </c:layout>
      <c:overlay val="1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747648731408573"/>
          <c:y val="0.037977602799650151"/>
          <c:w val="0.82705489938757826"/>
          <c:h val="0.80167454068241473"/>
        </c:manualLayout>
      </c:layout>
      <c:scatterChart>
        <c:scatterStyle val="lineMarker"/>
        <c:varyColors val="0"/>
        <c:ser>
          <c:idx val="0"/>
          <c:order val="0"/>
          <c:spPr>
            <a:ln w="0">
              <a:noFill/>
            </a:ln>
          </c:spPr>
          <c:marker>
            <c:symbol val="square"/>
            <c:size val="5"/>
            <c:spPr>
              <a:solidFill>
                <a:sysClr val="windowText" lastClr="000000"/>
              </a:solidFill>
              <a:ln w="25400">
                <a:solidFill>
                  <a:sysClr val="windowText" lastClr="000000"/>
                </a:solidFill>
                <a:bevel/>
              </a:ln>
            </c:spPr>
          </c:marker>
          <c:trendline>
            <c:spPr>
              <a:ln w="19050">
                <a:solidFill>
                  <a:sysClr val="windowText" lastClr="000000"/>
                </a:solidFill>
              </a:ln>
            </c:spPr>
            <c:trendlineType val="movingAvg"/>
            <c:period val="2"/>
            <c:dispRSqr val="0"/>
            <c:dispEq val="0"/>
          </c:trendline>
          <c:xVal>
            <c:numRef>
              <c:f>'All_XS_(m)'!$L$232:$L$238</c:f>
              <c:numCache>
                <c:formatCode>0.000</c:formatCode>
                <c:ptCount val="7"/>
                <c:pt idx="0">
                  <c:v>0.92492231725780627</c:v>
                </c:pt>
                <c:pt idx="1">
                  <c:v>3.6031161106172278</c:v>
                </c:pt>
                <c:pt idx="2">
                  <c:v>7.1008729033916165</c:v>
                </c:pt>
                <c:pt idx="3">
                  <c:v>10.508565829302697</c:v>
                </c:pt>
                <c:pt idx="4">
                  <c:v>13.697311423798697</c:v>
                </c:pt>
                <c:pt idx="5">
                  <c:v>16.738625923734311</c:v>
                </c:pt>
                <c:pt idx="6">
                  <c:v>19.512659904630603</c:v>
                </c:pt>
              </c:numCache>
            </c:numRef>
          </c:xVal>
          <c:yVal>
            <c:numRef>
              <c:f>'All_XS_(m)'!$M$232:$M$238</c:f>
              <c:numCache>
                <c:formatCode>0.000</c:formatCode>
                <c:ptCount val="7"/>
                <c:pt idx="0">
                  <c:v>0.14999817600000001</c:v>
                </c:pt>
                <c:pt idx="1">
                  <c:v>0.42671999999999999</c:v>
                </c:pt>
                <c:pt idx="2">
                  <c:v>0.71999124479999999</c:v>
                </c:pt>
                <c:pt idx="3">
                  <c:v>0.48768000000000006</c:v>
                </c:pt>
                <c:pt idx="4">
                  <c:v>0.54999331200000012</c:v>
                </c:pt>
                <c:pt idx="5">
                  <c:v>0.45720000000000005</c:v>
                </c:pt>
                <c:pt idx="6">
                  <c:v>0.54999331200000012</c:v>
                </c:pt>
              </c:numCache>
            </c:numRef>
          </c:yVal>
          <c:smooth val="0"/>
          <c:extLst>
            <c:ext uri="{C3380CC4-5D6E-409C-BE32-E72D297353CC}"/>
          </c:extLst>
        </c:ser>
        <c:ser>
          <c:idx val="1"/>
          <c:order val="1"/>
          <c:spPr>
            <a:ln w="34925">
              <a:solidFill>
                <a:sysClr val="window" lastClr="ffffff">
                  <a:lumMod val="50000"/>
                </a:sysClr>
              </a:solidFill>
            </a:ln>
          </c:spPr>
          <c:marker>
            <c:symbol val="none"/>
          </c:marker>
          <c:xVal>
            <c:numRef>
              <c:f>'All_XS_(m)'!$L$232:$L$238</c:f>
              <c:numCache>
                <c:formatCode>0.000</c:formatCode>
                <c:ptCount val="7"/>
                <c:pt idx="0">
                  <c:v>0.92492231725780627</c:v>
                </c:pt>
                <c:pt idx="1">
                  <c:v>3.6031161106172278</c:v>
                </c:pt>
                <c:pt idx="2">
                  <c:v>7.1008729033916165</c:v>
                </c:pt>
                <c:pt idx="3">
                  <c:v>10.508565829302697</c:v>
                </c:pt>
                <c:pt idx="4">
                  <c:v>13.697311423798697</c:v>
                </c:pt>
                <c:pt idx="5">
                  <c:v>16.738625923734311</c:v>
                </c:pt>
                <c:pt idx="6">
                  <c:v>19.512659904630603</c:v>
                </c:pt>
              </c:numCache>
            </c:numRef>
          </c:xVal>
          <c:yVal>
            <c:numRef>
              <c:f>'All_XS_(m)'!$N$232:$N$238</c:f>
              <c:numCache>
                <c:formatCode>0.000</c:formatCode>
                <c:ptCount val="7"/>
                <c:pt idx="0">
                  <c:v>0</c:v>
                </c:pt>
                <c:pt idx="1">
                  <c:v>0.35335677360000006</c:v>
                </c:pt>
                <c:pt idx="2">
                  <c:v>0.39664233600000004</c:v>
                </c:pt>
                <c:pt idx="3">
                  <c:v>0.47274906719999998</c:v>
                </c:pt>
                <c:pt idx="4">
                  <c:v>0.45521300880000004</c:v>
                </c:pt>
                <c:pt idx="5">
                  <c:v>0.40964632320000005</c:v>
                </c:pt>
                <c:pt idx="6">
                  <c:v>0.51786586800000001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69472"/>
        <c:axId val="124571008"/>
      </c:scatterChart>
      <c:valAx>
        <c:axId val="124569472"/>
        <c:scaling>
          <c:orientation val="minMax"/>
        </c:scaling>
        <c:delete val="0"/>
        <c:axPos val="b"/>
        <c:numFmt formatCode="0" sourceLinked="0"/>
        <c:majorTickMark val="in"/>
        <c:minorTickMark val="none"/>
        <c:tickLblPos val="nextTo"/>
        <c:crossAx val="124571008"/>
        <c:crosses val="max"/>
        <c:crossBetween val="midCat"/>
      </c:valAx>
      <c:valAx>
        <c:axId val="124571008"/>
        <c:scaling>
          <c:orientation val="maxMin"/>
        </c:scaling>
        <c:delete val="0"/>
        <c:axPos val="l"/>
        <c:numFmt formatCode="0.0" sourceLinked="0"/>
        <c:majorTickMark val="in"/>
        <c:minorTickMark val="none"/>
        <c:tickLblPos val="nextTo"/>
        <c:crossAx val="124569472"/>
        <c:crosses val="autoZero"/>
        <c:crossBetween val="midCat"/>
        <c:majorUnit val="0.20000000000000001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400"/>
      </a:pPr>
      <a:endParaRPr lang="en-US"/>
    </a:p>
  </c:txPr>
  <c:printSettings>
    <c:headerFooter/>
    <c:pageMargins l="0.70000000000000062" r="0.70000000000000062" t="0.75000000000000178" b="0.75000000000000178" header="0.30000000000000032" footer="0.30000000000000032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1"/>
    </mc:Choice>
    <mc:Fallback>
      <c:style val="1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200"/>
              <a:t>b. Modeled Velocities vs</a:t>
            </a:r>
            <a:r>
              <a:rPr lang="en-US" sz="1200" baseline="0"/>
              <a:t> Observed Cross-sectional Point Velocities</a:t>
            </a:r>
            <a:endParaRPr lang="en-US" sz="1200"/>
          </a:p>
        </c:rich>
      </c:tx>
      <c:layout>
        <c:manualLayout>
          <c:xMode val="edge"/>
          <c:yMode val="edge"/>
          <c:x val="0.19710909213271421"/>
          <c:y val="0.01819562554680666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441213390525691"/>
          <c:y val="0.17742720395244777"/>
          <c:w val="0.78837438159104756"/>
          <c:h val="0.6385582831557837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4"/>
            <c:spPr>
              <a:solidFill>
                <a:sysClr val="window" lastClr="ffffff">
                  <a:lumMod val="50000"/>
                </a:sysClr>
              </a:solidFill>
              <a:ln>
                <a:solidFill>
                  <a:sysClr val="window" lastClr="ffffff">
                    <a:lumMod val="50000"/>
                  </a:sysClr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0.058722137535455583"/>
                  <c:y val="0.41255503062117199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</c:trendlineLbl>
          </c:trendline>
          <c:xVal>
            <c:numRef>
              <c:f>All_XS_Trimmed!$N$8:$N$206</c:f>
              <c:numCache>
                <c:formatCode>0.000</c:formatCode>
                <c:ptCount val="199"/>
                <c:pt idx="0">
                  <c:v>0.38803783200000003</c:v>
                </c:pt>
                <c:pt idx="1">
                  <c:v>0.5479295112</c:v>
                </c:pt>
                <c:pt idx="2">
                  <c:v>0.64235868480000002</c:v>
                </c:pt>
                <c:pt idx="3">
                  <c:v>0.68435006639999996</c:v>
                </c:pt>
                <c:pt idx="4">
                  <c:v>0.70399686480000001</c:v>
                </c:pt>
                <c:pt idx="5">
                  <c:v>0.70495027919999997</c:v>
                </c:pt>
                <c:pt idx="6">
                  <c:v>0.70998496560000002</c:v>
                </c:pt>
                <c:pt idx="7">
                  <c:v>0.71472308160000009</c:v>
                </c:pt>
                <c:pt idx="8">
                  <c:v>0.72222238080000001</c:v>
                </c:pt>
                <c:pt idx="9">
                  <c:v>0.73690916880000001</c:v>
                </c:pt>
                <c:pt idx="10">
                  <c:v>0.7533933624000001</c:v>
                </c:pt>
                <c:pt idx="11">
                  <c:v>0.76888512720000002</c:v>
                </c:pt>
                <c:pt idx="12">
                  <c:v>0.80436049440000001</c:v>
                </c:pt>
                <c:pt idx="13">
                  <c:v>0.8112767112</c:v>
                </c:pt>
                <c:pt idx="14">
                  <c:v>0.78345578640000013</c:v>
                </c:pt>
                <c:pt idx="15">
                  <c:v>0.6967042200000001</c:v>
                </c:pt>
                <c:pt idx="16">
                  <c:v>0.59049879360000002</c:v>
                </c:pt>
                <c:pt idx="17">
                  <c:v>0.44598762720000001</c:v>
                </c:pt>
                <c:pt idx="18">
                  <c:v>0.27232996079999999</c:v>
                </c:pt>
                <c:pt idx="19">
                  <c:v>0.24122329200000001</c:v>
                </c:pt>
                <c:pt idx="20">
                  <c:v>0.29488028399999999</c:v>
                </c:pt>
                <c:pt idx="21">
                  <c:v>0.36471758400000004</c:v>
                </c:pt>
                <c:pt idx="22">
                  <c:v>0.40277887440000004</c:v>
                </c:pt>
                <c:pt idx="23">
                  <c:v>0.42237934320000003</c:v>
                </c:pt>
                <c:pt idx="24">
                  <c:v>0.40689397920000003</c:v>
                </c:pt>
                <c:pt idx="25">
                  <c:v>0.3655676712</c:v>
                </c:pt>
                <c:pt idx="26">
                  <c:v>0.31489741440000002</c:v>
                </c:pt>
                <c:pt idx="27">
                  <c:v>0.25849112640000005</c:v>
                </c:pt>
                <c:pt idx="28">
                  <c:v>1.0745477111999999</c:v>
                </c:pt>
                <c:pt idx="29">
                  <c:v>1.1631838560000001</c:v>
                </c:pt>
                <c:pt idx="30">
                  <c:v>1.2597606504000003</c:v>
                </c:pt>
                <c:pt idx="31">
                  <c:v>1.3187693208000002</c:v>
                </c:pt>
                <c:pt idx="32">
                  <c:v>0.58782813599999995</c:v>
                </c:pt>
                <c:pt idx="33">
                  <c:v>0.74216117760000011</c:v>
                </c:pt>
                <c:pt idx="34">
                  <c:v>0.86559908159999999</c:v>
                </c:pt>
                <c:pt idx="35">
                  <c:v>0.96611175840000008</c:v>
                </c:pt>
                <c:pt idx="36">
                  <c:v>1.0301346936</c:v>
                </c:pt>
                <c:pt idx="37">
                  <c:v>1.0343333136000001</c:v>
                </c:pt>
                <c:pt idx="38">
                  <c:v>1.0287057911999999</c:v>
                </c:pt>
                <c:pt idx="39">
                  <c:v>1.0398224568000001</c:v>
                </c:pt>
                <c:pt idx="40">
                  <c:v>1.0185340056000001</c:v>
                </c:pt>
                <c:pt idx="41">
                  <c:v>0.97051307040000012</c:v>
                </c:pt>
                <c:pt idx="42">
                  <c:v>0.88611608399999997</c:v>
                </c:pt>
                <c:pt idx="43">
                  <c:v>0.82167801119999995</c:v>
                </c:pt>
                <c:pt idx="44">
                  <c:v>0.72333307199999997</c:v>
                </c:pt>
                <c:pt idx="45">
                  <c:v>0.61776102000000011</c:v>
                </c:pt>
                <c:pt idx="46">
                  <c:v>0.51334903679999999</c:v>
                </c:pt>
                <c:pt idx="47">
                  <c:v>0.20395600560000002</c:v>
                </c:pt>
                <c:pt idx="48">
                  <c:v>0.31536589199999998</c:v>
                </c:pt>
                <c:pt idx="49">
                  <c:v>0.43839810720000005</c:v>
                </c:pt>
                <c:pt idx="50">
                  <c:v>0.54560724000000005</c:v>
                </c:pt>
                <c:pt idx="51">
                  <c:v>0.69467394719999997</c:v>
                </c:pt>
                <c:pt idx="52">
                  <c:v>0.9028334496</c:v>
                </c:pt>
                <c:pt idx="53">
                  <c:v>1.0115467704000001</c:v>
                </c:pt>
                <c:pt idx="54">
                  <c:v>1.0394399327999999</c:v>
                </c:pt>
                <c:pt idx="55">
                  <c:v>1.0233958703999999</c:v>
                </c:pt>
                <c:pt idx="56">
                  <c:v>1.0507035120000001</c:v>
                </c:pt>
                <c:pt idx="57">
                  <c:v>1.0369780632000001</c:v>
                </c:pt>
                <c:pt idx="58">
                  <c:v>0.91093869120000004</c:v>
                </c:pt>
                <c:pt idx="59">
                  <c:v>0.69095660640000001</c:v>
                </c:pt>
                <c:pt idx="60">
                  <c:v>0.2557558512</c:v>
                </c:pt>
                <c:pt idx="61">
                  <c:v>0.18371759039999999</c:v>
                </c:pt>
                <c:pt idx="62">
                  <c:v>0.26690726400000003</c:v>
                </c:pt>
                <c:pt idx="63">
                  <c:v>0.30395265599999999</c:v>
                </c:pt>
                <c:pt idx="64">
                  <c:v>0.2981596272</c:v>
                </c:pt>
                <c:pt idx="65">
                  <c:v>0.33600664320000001</c:v>
                </c:pt>
                <c:pt idx="66">
                  <c:v>0.33172511760000006</c:v>
                </c:pt>
                <c:pt idx="67">
                  <c:v>0.70645294320000007</c:v>
                </c:pt>
                <c:pt idx="68">
                  <c:v>0.812732436</c:v>
                </c:pt>
                <c:pt idx="69">
                  <c:v>0.84631621440000004</c:v>
                </c:pt>
                <c:pt idx="70">
                  <c:v>0.81955325040000004</c:v>
                </c:pt>
                <c:pt idx="71">
                  <c:v>0.829523868</c:v>
                </c:pt>
                <c:pt idx="72">
                  <c:v>0.92537737200000003</c:v>
                </c:pt>
                <c:pt idx="73">
                  <c:v>1.0223808863999999</c:v>
                </c:pt>
                <c:pt idx="74">
                  <c:v>1.0197370512000001</c:v>
                </c:pt>
                <c:pt idx="75">
                  <c:v>0.90126860640000006</c:v>
                </c:pt>
                <c:pt idx="76">
                  <c:v>0.77819493839999998</c:v>
                </c:pt>
                <c:pt idx="77">
                  <c:v>0.65543887199999995</c:v>
                </c:pt>
                <c:pt idx="78">
                  <c:v>0.53004171360000008</c:v>
                </c:pt>
                <c:pt idx="79">
                  <c:v>0.81122611440000014</c:v>
                </c:pt>
                <c:pt idx="80">
                  <c:v>1.4803337424</c:v>
                </c:pt>
                <c:pt idx="81">
                  <c:v>1.7657652263999999</c:v>
                </c:pt>
                <c:pt idx="82">
                  <c:v>1.9232791608000002</c:v>
                </c:pt>
                <c:pt idx="83">
                  <c:v>1.9782160080000002</c:v>
                </c:pt>
                <c:pt idx="84">
                  <c:v>1.7478195167999999</c:v>
                </c:pt>
                <c:pt idx="85">
                  <c:v>1.0921608840000001</c:v>
                </c:pt>
                <c:pt idx="86">
                  <c:v>0.48931220400000003</c:v>
                </c:pt>
                <c:pt idx="87">
                  <c:v>0.38105760720000004</c:v>
                </c:pt>
                <c:pt idx="88">
                  <c:v>8.4482025599999996E-2</c:v>
                </c:pt>
                <c:pt idx="89">
                  <c:v>0.19255922880000001</c:v>
                </c:pt>
                <c:pt idx="90">
                  <c:v>0.25970087760000005</c:v>
                </c:pt>
                <c:pt idx="91">
                  <c:v>0.30589849920000001</c:v>
                </c:pt>
                <c:pt idx="92">
                  <c:v>0.33721822320000006</c:v>
                </c:pt>
                <c:pt idx="93">
                  <c:v>0.34810263120000001</c:v>
                </c:pt>
                <c:pt idx="94">
                  <c:v>0.35655961200000003</c:v>
                </c:pt>
                <c:pt idx="95">
                  <c:v>0.36770553840000003</c:v>
                </c:pt>
                <c:pt idx="96">
                  <c:v>0.37443399840000002</c:v>
                </c:pt>
                <c:pt idx="97">
                  <c:v>0.39418930560000004</c:v>
                </c:pt>
                <c:pt idx="98">
                  <c:v>0.40591831440000004</c:v>
                </c:pt>
                <c:pt idx="99">
                  <c:v>0.41191007279999997</c:v>
                </c:pt>
                <c:pt idx="100">
                  <c:v>0.42038717040000007</c:v>
                </c:pt>
                <c:pt idx="101">
                  <c:v>0.4151808816</c:v>
                </c:pt>
                <c:pt idx="102">
                  <c:v>0.39184386960000001</c:v>
                </c:pt>
                <c:pt idx="103">
                  <c:v>0.25771266720000002</c:v>
                </c:pt>
                <c:pt idx="104">
                  <c:v>0.63706400399999996</c:v>
                </c:pt>
                <c:pt idx="105">
                  <c:v>0.71504190239999998</c:v>
                </c:pt>
                <c:pt idx="106">
                  <c:v>0.79390372080000005</c:v>
                </c:pt>
                <c:pt idx="107">
                  <c:v>1.0347478416</c:v>
                </c:pt>
                <c:pt idx="108">
                  <c:v>1.1315404344000002</c:v>
                </c:pt>
                <c:pt idx="109">
                  <c:v>1.1978265096</c:v>
                </c:pt>
                <c:pt idx="110">
                  <c:v>1.2549030528000003</c:v>
                </c:pt>
                <c:pt idx="111">
                  <c:v>1.2875035464</c:v>
                </c:pt>
                <c:pt idx="112">
                  <c:v>1.0838401488</c:v>
                </c:pt>
                <c:pt idx="113">
                  <c:v>0.66749797920000009</c:v>
                </c:pt>
                <c:pt idx="114">
                  <c:v>0.56658357600000009</c:v>
                </c:pt>
                <c:pt idx="115">
                  <c:v>1.0199872919999999</c:v>
                </c:pt>
                <c:pt idx="116">
                  <c:v>1.1207858712000001</c:v>
                </c:pt>
                <c:pt idx="117">
                  <c:v>1.118170992</c:v>
                </c:pt>
                <c:pt idx="118">
                  <c:v>1.1227265328</c:v>
                </c:pt>
                <c:pt idx="119">
                  <c:v>0.96885861600000001</c:v>
                </c:pt>
                <c:pt idx="120">
                  <c:v>0.66464383199999999</c:v>
                </c:pt>
                <c:pt idx="121">
                  <c:v>0.19557979680000001</c:v>
                </c:pt>
                <c:pt idx="122">
                  <c:v>0.24977658960000002</c:v>
                </c:pt>
                <c:pt idx="123">
                  <c:v>0.45134844960000003</c:v>
                </c:pt>
                <c:pt idx="124">
                  <c:v>0.47235313200000001</c:v>
                </c:pt>
                <c:pt idx="125">
                  <c:v>0.49735313280000004</c:v>
                </c:pt>
                <c:pt idx="126">
                  <c:v>0.53742762720000004</c:v>
                </c:pt>
                <c:pt idx="127">
                  <c:v>0.58008560640000006</c:v>
                </c:pt>
                <c:pt idx="128">
                  <c:v>0.61579719359999996</c:v>
                </c:pt>
                <c:pt idx="129">
                  <c:v>0.64759545360000004</c:v>
                </c:pt>
                <c:pt idx="130">
                  <c:v>0.63633278879999999</c:v>
                </c:pt>
                <c:pt idx="131">
                  <c:v>0.58862549280000009</c:v>
                </c:pt>
                <c:pt idx="132">
                  <c:v>0.55199584800000001</c:v>
                </c:pt>
                <c:pt idx="133">
                  <c:v>0.52824034559999999</c:v>
                </c:pt>
                <c:pt idx="134">
                  <c:v>0.51472886640000004</c:v>
                </c:pt>
                <c:pt idx="135">
                  <c:v>0.51473618160000001</c:v>
                </c:pt>
                <c:pt idx="136">
                  <c:v>0.48514223520000005</c:v>
                </c:pt>
                <c:pt idx="137">
                  <c:v>0.46767262320000003</c:v>
                </c:pt>
                <c:pt idx="138">
                  <c:v>0.45808148160000001</c:v>
                </c:pt>
                <c:pt idx="139">
                  <c:v>0.44441424959999998</c:v>
                </c:pt>
                <c:pt idx="140">
                  <c:v>0.3956983704</c:v>
                </c:pt>
                <c:pt idx="141">
                  <c:v>0.33083906399999996</c:v>
                </c:pt>
                <c:pt idx="142">
                  <c:v>0.22754630640000001</c:v>
                </c:pt>
                <c:pt idx="143">
                  <c:v>0.27024208080000001</c:v>
                </c:pt>
                <c:pt idx="144">
                  <c:v>0.30239939520000003</c:v>
                </c:pt>
                <c:pt idx="145">
                  <c:v>0.34052865600000004</c:v>
                </c:pt>
                <c:pt idx="146">
                  <c:v>0.38074732080000001</c:v>
                </c:pt>
                <c:pt idx="147">
                  <c:v>0.39509608559999998</c:v>
                </c:pt>
                <c:pt idx="148">
                  <c:v>0.40634290080000002</c:v>
                </c:pt>
                <c:pt idx="149">
                  <c:v>0.41413938</c:v>
                </c:pt>
                <c:pt idx="150">
                  <c:v>0.48377429280000001</c:v>
                </c:pt>
                <c:pt idx="151">
                  <c:v>0.8102044248000001</c:v>
                </c:pt>
                <c:pt idx="152">
                  <c:v>0.98125117440000009</c:v>
                </c:pt>
                <c:pt idx="153">
                  <c:v>1.1086770816</c:v>
                </c:pt>
                <c:pt idx="154">
                  <c:v>1.1554446792000002</c:v>
                </c:pt>
                <c:pt idx="155">
                  <c:v>1.17594888</c:v>
                </c:pt>
                <c:pt idx="156">
                  <c:v>1.1013890088</c:v>
                </c:pt>
                <c:pt idx="157">
                  <c:v>0.94946083920000002</c:v>
                </c:pt>
                <c:pt idx="158">
                  <c:v>0.80133657359999999</c:v>
                </c:pt>
                <c:pt idx="159">
                  <c:v>0.621968784</c:v>
                </c:pt>
                <c:pt idx="160">
                  <c:v>0.49872138000000005</c:v>
                </c:pt>
                <c:pt idx="161">
                  <c:v>0.70243567920000005</c:v>
                </c:pt>
                <c:pt idx="162">
                  <c:v>0.77418194159999998</c:v>
                </c:pt>
                <c:pt idx="163">
                  <c:v>0.80811410640000003</c:v>
                </c:pt>
                <c:pt idx="164">
                  <c:v>0.8317211712</c:v>
                </c:pt>
                <c:pt idx="165">
                  <c:v>0.85615028160000006</c:v>
                </c:pt>
                <c:pt idx="166">
                  <c:v>0.88163643840000006</c:v>
                </c:pt>
                <c:pt idx="167">
                  <c:v>0.89863086720000007</c:v>
                </c:pt>
                <c:pt idx="168">
                  <c:v>0.92366165280000001</c:v>
                </c:pt>
                <c:pt idx="169">
                  <c:v>0.9387964968000001</c:v>
                </c:pt>
                <c:pt idx="170">
                  <c:v>0.90425198880000002</c:v>
                </c:pt>
                <c:pt idx="171">
                  <c:v>0.85162064879999999</c:v>
                </c:pt>
                <c:pt idx="172">
                  <c:v>0.71685668160000005</c:v>
                </c:pt>
                <c:pt idx="173">
                  <c:v>0.55399411679999999</c:v>
                </c:pt>
                <c:pt idx="174">
                  <c:v>0.27945222240000001</c:v>
                </c:pt>
                <c:pt idx="175">
                  <c:v>0.2055613872</c:v>
                </c:pt>
                <c:pt idx="176">
                  <c:v>0.24577578480000004</c:v>
                </c:pt>
                <c:pt idx="177">
                  <c:v>0.22610460239999999</c:v>
                </c:pt>
                <c:pt idx="178">
                  <c:v>0.20414193360000002</c:v>
                </c:pt>
                <c:pt idx="179">
                  <c:v>0.1779550416</c:v>
                </c:pt>
                <c:pt idx="180">
                  <c:v>0.16054120800000002</c:v>
                </c:pt>
                <c:pt idx="181">
                  <c:v>0.11679570239999999</c:v>
                </c:pt>
                <c:pt idx="182">
                  <c:v>0.51965900639999996</c:v>
                </c:pt>
                <c:pt idx="183">
                  <c:v>0.6419688456</c:v>
                </c:pt>
                <c:pt idx="184">
                  <c:v>0.70136887920000002</c:v>
                </c:pt>
                <c:pt idx="185">
                  <c:v>0.73168428720000012</c:v>
                </c:pt>
                <c:pt idx="186">
                  <c:v>0.77156157599999997</c:v>
                </c:pt>
                <c:pt idx="187">
                  <c:v>0.83159559360000002</c:v>
                </c:pt>
                <c:pt idx="188">
                  <c:v>0.87497930160000004</c:v>
                </c:pt>
                <c:pt idx="189">
                  <c:v>0.83825821680000001</c:v>
                </c:pt>
                <c:pt idx="190">
                  <c:v>0.76926277440000002</c:v>
                </c:pt>
                <c:pt idx="191">
                  <c:v>0.70430806560000003</c:v>
                </c:pt>
                <c:pt idx="192">
                  <c:v>0.68080615680000001</c:v>
                </c:pt>
                <c:pt idx="193">
                  <c:v>0.2172084048</c:v>
                </c:pt>
                <c:pt idx="194">
                  <c:v>1.3641720239999999</c:v>
                </c:pt>
                <c:pt idx="195">
                  <c:v>1.5127123416000001</c:v>
                </c:pt>
                <c:pt idx="196">
                  <c:v>1.4415564768000002</c:v>
                </c:pt>
                <c:pt idx="197">
                  <c:v>1.3455749567999999</c:v>
                </c:pt>
                <c:pt idx="198">
                  <c:v>1.3150937376000003</c:v>
                </c:pt>
              </c:numCache>
            </c:numRef>
          </c:xVal>
          <c:yVal>
            <c:numRef>
              <c:f>All_XS_Trimmed!$M$8:$M$206</c:f>
              <c:numCache>
                <c:formatCode>0.000</c:formatCode>
                <c:ptCount val="199"/>
                <c:pt idx="0">
                  <c:v>0.21945600000000001</c:v>
                </c:pt>
                <c:pt idx="1">
                  <c:v>0.38100000000000001</c:v>
                </c:pt>
                <c:pt idx="2">
                  <c:v>0.41148000000000007</c:v>
                </c:pt>
                <c:pt idx="3">
                  <c:v>0.521208</c:v>
                </c:pt>
                <c:pt idx="4">
                  <c:v>0.54864000000000002</c:v>
                </c:pt>
                <c:pt idx="5">
                  <c:v>0.60960000000000003</c:v>
                </c:pt>
                <c:pt idx="6">
                  <c:v>0.60045599999999999</c:v>
                </c:pt>
                <c:pt idx="7">
                  <c:v>0.67056000000000004</c:v>
                </c:pt>
                <c:pt idx="8">
                  <c:v>0.65532000000000001</c:v>
                </c:pt>
                <c:pt idx="9">
                  <c:v>0.71932799999999997</c:v>
                </c:pt>
                <c:pt idx="10">
                  <c:v>0.83515200000000012</c:v>
                </c:pt>
                <c:pt idx="11">
                  <c:v>0.81991199999999997</c:v>
                </c:pt>
                <c:pt idx="12">
                  <c:v>0.79857600000000006</c:v>
                </c:pt>
                <c:pt idx="13">
                  <c:v>0.89916000000000007</c:v>
                </c:pt>
                <c:pt idx="14">
                  <c:v>0.88696800000000009</c:v>
                </c:pt>
                <c:pt idx="15">
                  <c:v>0.77114399999999994</c:v>
                </c:pt>
                <c:pt idx="16">
                  <c:v>0.60350400000000004</c:v>
                </c:pt>
                <c:pt idx="17">
                  <c:v>0.33832800000000007</c:v>
                </c:pt>
                <c:pt idx="18">
                  <c:v>0.140208</c:v>
                </c:pt>
                <c:pt idx="19">
                  <c:v>0.25908000000000003</c:v>
                </c:pt>
                <c:pt idx="20">
                  <c:v>0.420624</c:v>
                </c:pt>
                <c:pt idx="21">
                  <c:v>0.36880800000000002</c:v>
                </c:pt>
                <c:pt idx="22">
                  <c:v>0.454152</c:v>
                </c:pt>
                <c:pt idx="23">
                  <c:v>0.38100000000000001</c:v>
                </c:pt>
                <c:pt idx="24">
                  <c:v>0.33832800000000007</c:v>
                </c:pt>
                <c:pt idx="25">
                  <c:v>0.18897600000000001</c:v>
                </c:pt>
                <c:pt idx="26">
                  <c:v>0.140208</c:v>
                </c:pt>
                <c:pt idx="27">
                  <c:v>6.0960000000000007E-2</c:v>
                </c:pt>
                <c:pt idx="28">
                  <c:v>0.25908000000000003</c:v>
                </c:pt>
                <c:pt idx="29">
                  <c:v>0.40538400000000002</c:v>
                </c:pt>
                <c:pt idx="30">
                  <c:v>0.70104</c:v>
                </c:pt>
                <c:pt idx="31">
                  <c:v>1.018032</c:v>
                </c:pt>
                <c:pt idx="32">
                  <c:v>0.32004000000000005</c:v>
                </c:pt>
                <c:pt idx="33">
                  <c:v>0.55473600000000001</c:v>
                </c:pt>
                <c:pt idx="34">
                  <c:v>0.73152000000000006</c:v>
                </c:pt>
                <c:pt idx="35">
                  <c:v>0.55473600000000001</c:v>
                </c:pt>
                <c:pt idx="36">
                  <c:v>0.85039200000000004</c:v>
                </c:pt>
                <c:pt idx="37">
                  <c:v>1.1155680000000001</c:v>
                </c:pt>
                <c:pt idx="38">
                  <c:v>1.2710160000000001</c:v>
                </c:pt>
                <c:pt idx="39">
                  <c:v>1.3807440000000002</c:v>
                </c:pt>
                <c:pt idx="40">
                  <c:v>1.6184879999999999</c:v>
                </c:pt>
                <c:pt idx="41">
                  <c:v>1.3807440000000002</c:v>
                </c:pt>
                <c:pt idx="42">
                  <c:v>1.3197840000000001</c:v>
                </c:pt>
                <c:pt idx="43">
                  <c:v>1.2161520000000001</c:v>
                </c:pt>
                <c:pt idx="44">
                  <c:v>1.3594079999999999</c:v>
                </c:pt>
                <c:pt idx="45">
                  <c:v>1.018032</c:v>
                </c:pt>
                <c:pt idx="46">
                  <c:v>0.25908000000000003</c:v>
                </c:pt>
                <c:pt idx="47">
                  <c:v>0</c:v>
                </c:pt>
                <c:pt idx="48">
                  <c:v>0.17068800000000003</c:v>
                </c:pt>
                <c:pt idx="49">
                  <c:v>0.33832800000000007</c:v>
                </c:pt>
                <c:pt idx="50">
                  <c:v>0.56997600000000004</c:v>
                </c:pt>
                <c:pt idx="51">
                  <c:v>0.77114399999999994</c:v>
                </c:pt>
                <c:pt idx="52">
                  <c:v>0.95097600000000004</c:v>
                </c:pt>
                <c:pt idx="53">
                  <c:v>0.95097600000000004</c:v>
                </c:pt>
                <c:pt idx="54">
                  <c:v>1.109472</c:v>
                </c:pt>
                <c:pt idx="55">
                  <c:v>0.78638400000000008</c:v>
                </c:pt>
                <c:pt idx="56">
                  <c:v>1.1490960000000001</c:v>
                </c:pt>
                <c:pt idx="57">
                  <c:v>0.73761600000000005</c:v>
                </c:pt>
                <c:pt idx="58">
                  <c:v>0.67970399999999997</c:v>
                </c:pt>
                <c:pt idx="59">
                  <c:v>0.521208</c:v>
                </c:pt>
                <c:pt idx="60">
                  <c:v>0.29870400000000003</c:v>
                </c:pt>
                <c:pt idx="61">
                  <c:v>0.53644800000000004</c:v>
                </c:pt>
                <c:pt idx="62">
                  <c:v>0.95097600000000004</c:v>
                </c:pt>
                <c:pt idx="63">
                  <c:v>0.85039200000000004</c:v>
                </c:pt>
                <c:pt idx="64">
                  <c:v>0.81991199999999997</c:v>
                </c:pt>
                <c:pt idx="65">
                  <c:v>0.73761600000000005</c:v>
                </c:pt>
                <c:pt idx="66">
                  <c:v>0.32918400000000003</c:v>
                </c:pt>
                <c:pt idx="67">
                  <c:v>0.47244000000000003</c:v>
                </c:pt>
                <c:pt idx="68">
                  <c:v>0.50901600000000002</c:v>
                </c:pt>
                <c:pt idx="69">
                  <c:v>0.47244000000000003</c:v>
                </c:pt>
                <c:pt idx="70">
                  <c:v>0.78028800000000009</c:v>
                </c:pt>
                <c:pt idx="71">
                  <c:v>0.95097600000000004</c:v>
                </c:pt>
                <c:pt idx="72">
                  <c:v>1.008888</c:v>
                </c:pt>
                <c:pt idx="73">
                  <c:v>1.1826240000000001</c:v>
                </c:pt>
                <c:pt idx="74">
                  <c:v>1.0911840000000002</c:v>
                </c:pt>
                <c:pt idx="75">
                  <c:v>1.0850880000000001</c:v>
                </c:pt>
                <c:pt idx="76">
                  <c:v>0.841248</c:v>
                </c:pt>
                <c:pt idx="77">
                  <c:v>0.43891200000000002</c:v>
                </c:pt>
                <c:pt idx="78">
                  <c:v>0.11887200000000001</c:v>
                </c:pt>
                <c:pt idx="79">
                  <c:v>0.22860000000000003</c:v>
                </c:pt>
                <c:pt idx="80">
                  <c:v>1.1826240000000001</c:v>
                </c:pt>
                <c:pt idx="81">
                  <c:v>1.3685520000000002</c:v>
                </c:pt>
                <c:pt idx="82">
                  <c:v>1.231392</c:v>
                </c:pt>
                <c:pt idx="83">
                  <c:v>1.3655040000000003</c:v>
                </c:pt>
                <c:pt idx="84">
                  <c:v>1.0698479999999999</c:v>
                </c:pt>
                <c:pt idx="85">
                  <c:v>0.27127200000000001</c:v>
                </c:pt>
                <c:pt idx="86">
                  <c:v>0.25603199999999998</c:v>
                </c:pt>
                <c:pt idx="87">
                  <c:v>0.11887200000000001</c:v>
                </c:pt>
                <c:pt idx="88">
                  <c:v>0.18897600000000001</c:v>
                </c:pt>
                <c:pt idx="89">
                  <c:v>0.32918400000000003</c:v>
                </c:pt>
                <c:pt idx="90">
                  <c:v>0.27127200000000001</c:v>
                </c:pt>
                <c:pt idx="91">
                  <c:v>0.35052</c:v>
                </c:pt>
                <c:pt idx="92">
                  <c:v>0.32308800000000004</c:v>
                </c:pt>
                <c:pt idx="93">
                  <c:v>0.39014400000000005</c:v>
                </c:pt>
                <c:pt idx="94">
                  <c:v>0.35356799999999999</c:v>
                </c:pt>
                <c:pt idx="95">
                  <c:v>0.38100000000000001</c:v>
                </c:pt>
                <c:pt idx="96">
                  <c:v>0.33832800000000007</c:v>
                </c:pt>
                <c:pt idx="97">
                  <c:v>0.39928800000000003</c:v>
                </c:pt>
                <c:pt idx="98">
                  <c:v>0.43891200000000002</c:v>
                </c:pt>
                <c:pt idx="99">
                  <c:v>0.420624</c:v>
                </c:pt>
                <c:pt idx="100">
                  <c:v>0.43891200000000002</c:v>
                </c:pt>
                <c:pt idx="101">
                  <c:v>0.39014400000000005</c:v>
                </c:pt>
                <c:pt idx="102">
                  <c:v>0.33832800000000007</c:v>
                </c:pt>
                <c:pt idx="103">
                  <c:v>0.25908000000000003</c:v>
                </c:pt>
                <c:pt idx="104">
                  <c:v>0.27127200000000001</c:v>
                </c:pt>
                <c:pt idx="105">
                  <c:v>0.50596799999999997</c:v>
                </c:pt>
                <c:pt idx="106">
                  <c:v>0.74980800000000003</c:v>
                </c:pt>
                <c:pt idx="107">
                  <c:v>0.801624</c:v>
                </c:pt>
                <c:pt idx="108">
                  <c:v>1.389888</c:v>
                </c:pt>
                <c:pt idx="109">
                  <c:v>1.4203680000000001</c:v>
                </c:pt>
                <c:pt idx="110">
                  <c:v>1.612392</c:v>
                </c:pt>
                <c:pt idx="111">
                  <c:v>1.3594079999999999</c:v>
                </c:pt>
                <c:pt idx="112">
                  <c:v>1.1338560000000002</c:v>
                </c:pt>
                <c:pt idx="113">
                  <c:v>1.0332720000000002</c:v>
                </c:pt>
                <c:pt idx="114">
                  <c:v>0.81076800000000004</c:v>
                </c:pt>
                <c:pt idx="115">
                  <c:v>0.91744799999999993</c:v>
                </c:pt>
                <c:pt idx="116">
                  <c:v>0.81991199999999997</c:v>
                </c:pt>
                <c:pt idx="117">
                  <c:v>1.0027920000000001</c:v>
                </c:pt>
                <c:pt idx="118">
                  <c:v>1.0911840000000002</c:v>
                </c:pt>
                <c:pt idx="119">
                  <c:v>0.81991199999999997</c:v>
                </c:pt>
                <c:pt idx="120">
                  <c:v>0.78943200000000002</c:v>
                </c:pt>
                <c:pt idx="121">
                  <c:v>0.27127200000000001</c:v>
                </c:pt>
                <c:pt idx="122">
                  <c:v>0.35052</c:v>
                </c:pt>
                <c:pt idx="123">
                  <c:v>0.32308800000000004</c:v>
                </c:pt>
                <c:pt idx="124">
                  <c:v>0.46939200000000003</c:v>
                </c:pt>
                <c:pt idx="125">
                  <c:v>0.420624</c:v>
                </c:pt>
                <c:pt idx="126">
                  <c:v>0.420624</c:v>
                </c:pt>
                <c:pt idx="127">
                  <c:v>0.53949600000000009</c:v>
                </c:pt>
                <c:pt idx="128">
                  <c:v>0.75285600000000008</c:v>
                </c:pt>
                <c:pt idx="129">
                  <c:v>0.75895200000000007</c:v>
                </c:pt>
                <c:pt idx="130">
                  <c:v>0.70408800000000005</c:v>
                </c:pt>
                <c:pt idx="131">
                  <c:v>0.77114399999999994</c:v>
                </c:pt>
                <c:pt idx="132">
                  <c:v>0.58826400000000001</c:v>
                </c:pt>
                <c:pt idx="133">
                  <c:v>0.64008000000000009</c:v>
                </c:pt>
                <c:pt idx="134">
                  <c:v>0.56997600000000004</c:v>
                </c:pt>
                <c:pt idx="135">
                  <c:v>0.60045599999999999</c:v>
                </c:pt>
                <c:pt idx="136">
                  <c:v>0.58826400000000001</c:v>
                </c:pt>
                <c:pt idx="137">
                  <c:v>0.57911999999999997</c:v>
                </c:pt>
                <c:pt idx="138">
                  <c:v>0.56997600000000004</c:v>
                </c:pt>
                <c:pt idx="139">
                  <c:v>0.50901600000000002</c:v>
                </c:pt>
                <c:pt idx="140">
                  <c:v>0.521208</c:v>
                </c:pt>
                <c:pt idx="141">
                  <c:v>0.37185600000000002</c:v>
                </c:pt>
                <c:pt idx="142">
                  <c:v>0.22250400000000001</c:v>
                </c:pt>
                <c:pt idx="143">
                  <c:v>0.24993599999999999</c:v>
                </c:pt>
                <c:pt idx="144">
                  <c:v>0.23774400000000001</c:v>
                </c:pt>
                <c:pt idx="145">
                  <c:v>0.34137600000000007</c:v>
                </c:pt>
                <c:pt idx="146">
                  <c:v>0.35356799999999999</c:v>
                </c:pt>
                <c:pt idx="147">
                  <c:v>0.420624</c:v>
                </c:pt>
                <c:pt idx="148">
                  <c:v>0.38709600000000005</c:v>
                </c:pt>
                <c:pt idx="149">
                  <c:v>0.42976799999999998</c:v>
                </c:pt>
                <c:pt idx="150">
                  <c:v>0.29870400000000003</c:v>
                </c:pt>
                <c:pt idx="151">
                  <c:v>0.70408800000000005</c:v>
                </c:pt>
                <c:pt idx="152">
                  <c:v>1.1186160000000001</c:v>
                </c:pt>
                <c:pt idx="153">
                  <c:v>0.86868000000000012</c:v>
                </c:pt>
                <c:pt idx="154">
                  <c:v>1.5087600000000001</c:v>
                </c:pt>
                <c:pt idx="155">
                  <c:v>1.331976</c:v>
                </c:pt>
                <c:pt idx="156">
                  <c:v>1.4996160000000001</c:v>
                </c:pt>
                <c:pt idx="157">
                  <c:v>1.2496799999999999</c:v>
                </c:pt>
                <c:pt idx="158">
                  <c:v>1.0850880000000001</c:v>
                </c:pt>
                <c:pt idx="159">
                  <c:v>0.420624</c:v>
                </c:pt>
                <c:pt idx="160">
                  <c:v>0.521208</c:v>
                </c:pt>
                <c:pt idx="161">
                  <c:v>0.68580000000000008</c:v>
                </c:pt>
                <c:pt idx="162">
                  <c:v>0.7406640000000001</c:v>
                </c:pt>
                <c:pt idx="163">
                  <c:v>0.7406640000000001</c:v>
                </c:pt>
                <c:pt idx="164">
                  <c:v>0.77114399999999994</c:v>
                </c:pt>
                <c:pt idx="165">
                  <c:v>0.85953599999999997</c:v>
                </c:pt>
                <c:pt idx="166">
                  <c:v>0.91744799999999993</c:v>
                </c:pt>
                <c:pt idx="167">
                  <c:v>0.78028800000000009</c:v>
                </c:pt>
                <c:pt idx="168">
                  <c:v>0.95097600000000004</c:v>
                </c:pt>
                <c:pt idx="169">
                  <c:v>0.91135200000000016</c:v>
                </c:pt>
                <c:pt idx="170">
                  <c:v>0.96926400000000013</c:v>
                </c:pt>
                <c:pt idx="171">
                  <c:v>0.78028800000000009</c:v>
                </c:pt>
                <c:pt idx="172">
                  <c:v>0.38709600000000005</c:v>
                </c:pt>
                <c:pt idx="173">
                  <c:v>0.17068800000000003</c:v>
                </c:pt>
                <c:pt idx="174">
                  <c:v>0.11887200000000001</c:v>
                </c:pt>
                <c:pt idx="175">
                  <c:v>0.15849600000000003</c:v>
                </c:pt>
                <c:pt idx="176">
                  <c:v>0.29870400000000003</c:v>
                </c:pt>
                <c:pt idx="177">
                  <c:v>0.27127200000000001</c:v>
                </c:pt>
                <c:pt idx="178">
                  <c:v>0.32004000000000005</c:v>
                </c:pt>
                <c:pt idx="179">
                  <c:v>0.32308800000000004</c:v>
                </c:pt>
                <c:pt idx="180">
                  <c:v>0.24993599999999999</c:v>
                </c:pt>
                <c:pt idx="181">
                  <c:v>0.155448</c:v>
                </c:pt>
                <c:pt idx="182">
                  <c:v>0.53644800000000004</c:v>
                </c:pt>
                <c:pt idx="183">
                  <c:v>0.59131200000000006</c:v>
                </c:pt>
                <c:pt idx="184">
                  <c:v>0.63703200000000004</c:v>
                </c:pt>
                <c:pt idx="185">
                  <c:v>0.661416</c:v>
                </c:pt>
                <c:pt idx="186">
                  <c:v>0.75285600000000008</c:v>
                </c:pt>
                <c:pt idx="187">
                  <c:v>0.71018400000000004</c:v>
                </c:pt>
                <c:pt idx="188">
                  <c:v>0.81991199999999997</c:v>
                </c:pt>
                <c:pt idx="189">
                  <c:v>0.63093599999999994</c:v>
                </c:pt>
                <c:pt idx="190">
                  <c:v>0.521208</c:v>
                </c:pt>
                <c:pt idx="191">
                  <c:v>0.65532000000000001</c:v>
                </c:pt>
                <c:pt idx="192">
                  <c:v>7.0104E-2</c:v>
                </c:pt>
                <c:pt idx="193">
                  <c:v>1.1490960000000001</c:v>
                </c:pt>
                <c:pt idx="194">
                  <c:v>1.3594079999999999</c:v>
                </c:pt>
                <c:pt idx="195">
                  <c:v>1.2649200000000003</c:v>
                </c:pt>
                <c:pt idx="196">
                  <c:v>0.98145600000000011</c:v>
                </c:pt>
                <c:pt idx="197">
                  <c:v>1.0515600000000001</c:v>
                </c:pt>
                <c:pt idx="198">
                  <c:v>1.2192000000000001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649472"/>
        <c:axId val="124651392"/>
      </c:scatterChart>
      <c:valAx>
        <c:axId val="124649472"/>
        <c:scaling>
          <c:orientation val="minMax"/>
          <c:max val="2.1000000000000001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Vmod (m/s)</a:t>
                </a:r>
              </a:p>
            </c:rich>
          </c:tx>
          <c:layout>
            <c:manualLayout>
              <c:xMode val="edge"/>
              <c:yMode val="edge"/>
              <c:x val="0.50268443007124108"/>
              <c:y val="0.91495970356646594"/>
            </c:manualLayout>
          </c:layout>
          <c:overlay val="0"/>
        </c:title>
        <c:numFmt formatCode="0.0" sourceLinked="0"/>
        <c:majorTickMark val="in"/>
        <c:minorTickMark val="in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4651392"/>
        <c:crosses val="autoZero"/>
        <c:crossBetween val="midCat"/>
        <c:majorUnit val="0.5"/>
        <c:minorUnit val="0.10000000000000001"/>
      </c:valAx>
      <c:valAx>
        <c:axId val="124651392"/>
        <c:scaling>
          <c:orientation val="minMax"/>
          <c:max val="2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Vobs (m/s)</a:t>
                </a:r>
              </a:p>
            </c:rich>
          </c:tx>
          <c:layout>
            <c:manualLayout>
              <c:xMode val="edge"/>
              <c:yMode val="edge"/>
              <c:x val="0.0026183836395450612"/>
              <c:y val="0.34108626421697386"/>
            </c:manualLayout>
          </c:layout>
          <c:overlay val="0"/>
        </c:title>
        <c:numFmt formatCode="0.0" sourceLinked="0"/>
        <c:majorTickMark val="in"/>
        <c:minorTickMark val="in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4649472"/>
        <c:crosses val="autoZero"/>
        <c:crossBetween val="midCat"/>
        <c:minorUnit val="0.10000000000000001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200"/>
      </a:pPr>
      <a:endParaRPr lang="en-US"/>
    </a:p>
  </c:txPr>
  <c:printSettings>
    <c:headerFooter alignWithMargins="0"/>
    <c:pageMargins l="0.75000000000000433" r="0.75000000000000433" t="1" b="1" header="0.5" footer="0.5"/>
    <c:pageSetup orientation="landscape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1"/>
    </mc:Choice>
    <mc:Fallback>
      <c:style val="1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200"/>
              <a:t>a. Modeled Depths vs Observed Depths</a:t>
            </a:r>
            <a:endParaRPr lang="en-US" sz="1200" baseline="0"/>
          </a:p>
        </c:rich>
      </c:tx>
      <c:layout>
        <c:manualLayout>
          <c:xMode val="edge"/>
          <c:yMode val="edge"/>
          <c:x val="0.19710909213271421"/>
          <c:y val="0.031528958880139984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428781440683091"/>
          <c:y val="0.14605465493283928"/>
          <c:w val="0.78849870108947384"/>
          <c:h val="0.6699308321753947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4"/>
            <c:spPr>
              <a:solidFill>
                <a:sysClr val="window" lastClr="ffffff">
                  <a:lumMod val="50000"/>
                </a:sysClr>
              </a:solidFill>
              <a:ln>
                <a:solidFill>
                  <a:sysClr val="window" lastClr="ffffff">
                    <a:lumMod val="50000"/>
                  </a:sysClr>
                </a:solidFill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0.085195247841974769"/>
                  <c:y val="0.43484094488189018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</c:trendlineLbl>
          </c:trendline>
          <c:xVal>
            <c:numRef>
              <c:f>All_XS_Trimmed!$AA$8:$AA$206</c:f>
              <c:numCache>
                <c:formatCode>0.00</c:formatCode>
                <c:ptCount val="199"/>
                <c:pt idx="0">
                  <c:v>0.141794484</c:v>
                </c:pt>
                <c:pt idx="1">
                  <c:v>0.2740581768</c:v>
                </c:pt>
                <c:pt idx="2">
                  <c:v>0.32754844320000004</c:v>
                </c:pt>
                <c:pt idx="3">
                  <c:v>0.38953196160000003</c:v>
                </c:pt>
                <c:pt idx="4">
                  <c:v>0.43332897840000001</c:v>
                </c:pt>
                <c:pt idx="5">
                  <c:v>0.50488047359999999</c:v>
                </c:pt>
                <c:pt idx="6">
                  <c:v>0.52661972400000001</c:v>
                </c:pt>
                <c:pt idx="7">
                  <c:v>0.54624640560000004</c:v>
                </c:pt>
                <c:pt idx="8">
                  <c:v>0.62468455200000006</c:v>
                </c:pt>
                <c:pt idx="9">
                  <c:v>0.75220067999999995</c:v>
                </c:pt>
                <c:pt idx="10">
                  <c:v>0.71893236960000007</c:v>
                </c:pt>
                <c:pt idx="11">
                  <c:v>0.889476504</c:v>
                </c:pt>
                <c:pt idx="12">
                  <c:v>1.0095027816</c:v>
                </c:pt>
                <c:pt idx="13">
                  <c:v>0.90818817600000012</c:v>
                </c:pt>
                <c:pt idx="14">
                  <c:v>0.89102305920000002</c:v>
                </c:pt>
                <c:pt idx="15">
                  <c:v>0.69959433360000001</c:v>
                </c:pt>
                <c:pt idx="16">
                  <c:v>0.54915328320000001</c:v>
                </c:pt>
                <c:pt idx="17">
                  <c:v>0.38083845600000005</c:v>
                </c:pt>
                <c:pt idx="18">
                  <c:v>0.21440729279999998</c:v>
                </c:pt>
                <c:pt idx="19">
                  <c:v>0.19304508000000001</c:v>
                </c:pt>
                <c:pt idx="20">
                  <c:v>0.2679758928</c:v>
                </c:pt>
                <c:pt idx="21">
                  <c:v>0.37205107199999998</c:v>
                </c:pt>
                <c:pt idx="22">
                  <c:v>0.44189050560000004</c:v>
                </c:pt>
                <c:pt idx="23">
                  <c:v>0.50703205680000007</c:v>
                </c:pt>
                <c:pt idx="24">
                  <c:v>0.57647128800000003</c:v>
                </c:pt>
                <c:pt idx="25">
                  <c:v>0.56311159920000009</c:v>
                </c:pt>
                <c:pt idx="26">
                  <c:v>0.48345364320000001</c:v>
                </c:pt>
                <c:pt idx="27">
                  <c:v>0.38578170239999998</c:v>
                </c:pt>
                <c:pt idx="28">
                  <c:v>0.36066740160000005</c:v>
                </c:pt>
                <c:pt idx="29">
                  <c:v>0.41510864399999997</c:v>
                </c:pt>
                <c:pt idx="30">
                  <c:v>0.48656443200000005</c:v>
                </c:pt>
                <c:pt idx="31">
                  <c:v>0.57064046400000001</c:v>
                </c:pt>
                <c:pt idx="32">
                  <c:v>0.21656222880000001</c:v>
                </c:pt>
                <c:pt idx="33">
                  <c:v>0.29773930800000004</c:v>
                </c:pt>
                <c:pt idx="34">
                  <c:v>0.37557577920000002</c:v>
                </c:pt>
                <c:pt idx="35">
                  <c:v>0.48762025920000002</c:v>
                </c:pt>
                <c:pt idx="36">
                  <c:v>0.59146226639999999</c:v>
                </c:pt>
                <c:pt idx="37">
                  <c:v>0.60503653440000005</c:v>
                </c:pt>
                <c:pt idx="38">
                  <c:v>0.59233795680000001</c:v>
                </c:pt>
                <c:pt idx="39">
                  <c:v>0.71582859120000009</c:v>
                </c:pt>
                <c:pt idx="40">
                  <c:v>0.76565180880000006</c:v>
                </c:pt>
                <c:pt idx="41">
                  <c:v>0.70001526240000012</c:v>
                </c:pt>
                <c:pt idx="42">
                  <c:v>0.61068935520000001</c:v>
                </c:pt>
                <c:pt idx="43">
                  <c:v>0.54780789600000002</c:v>
                </c:pt>
                <c:pt idx="44">
                  <c:v>0.45996392640000006</c:v>
                </c:pt>
                <c:pt idx="45">
                  <c:v>0.37730033760000004</c:v>
                </c:pt>
                <c:pt idx="46">
                  <c:v>0.30079035599999998</c:v>
                </c:pt>
                <c:pt idx="47">
                  <c:v>0.17132046000000001</c:v>
                </c:pt>
                <c:pt idx="48">
                  <c:v>0.32658222720000002</c:v>
                </c:pt>
                <c:pt idx="49">
                  <c:v>0.41347918320000004</c:v>
                </c:pt>
                <c:pt idx="50">
                  <c:v>0.42173712960000004</c:v>
                </c:pt>
                <c:pt idx="51">
                  <c:v>0.38110180320000003</c:v>
                </c:pt>
                <c:pt idx="52">
                  <c:v>0.7295714136</c:v>
                </c:pt>
                <c:pt idx="53">
                  <c:v>0.6625212048000001</c:v>
                </c:pt>
                <c:pt idx="54">
                  <c:v>0.91316556000000004</c:v>
                </c:pt>
                <c:pt idx="55">
                  <c:v>0.70808209919999998</c:v>
                </c:pt>
                <c:pt idx="56">
                  <c:v>0.66836269680000004</c:v>
                </c:pt>
                <c:pt idx="57">
                  <c:v>0.62168349119999999</c:v>
                </c:pt>
                <c:pt idx="58">
                  <c:v>0.57208277760000004</c:v>
                </c:pt>
                <c:pt idx="59">
                  <c:v>0.45349454640000003</c:v>
                </c:pt>
                <c:pt idx="60">
                  <c:v>0.10041575040000002</c:v>
                </c:pt>
                <c:pt idx="61">
                  <c:v>0.251961396</c:v>
                </c:pt>
                <c:pt idx="62">
                  <c:v>0.462334356</c:v>
                </c:pt>
                <c:pt idx="63">
                  <c:v>0.68659827120000005</c:v>
                </c:pt>
                <c:pt idx="64">
                  <c:v>0.89905941599999994</c:v>
                </c:pt>
                <c:pt idx="65">
                  <c:v>1.1054303519999999</c:v>
                </c:pt>
                <c:pt idx="66">
                  <c:v>0.13148553840000002</c:v>
                </c:pt>
                <c:pt idx="67">
                  <c:v>0.4004648328</c:v>
                </c:pt>
                <c:pt idx="68">
                  <c:v>0.49965041040000002</c:v>
                </c:pt>
                <c:pt idx="69">
                  <c:v>0.66496996799999997</c:v>
                </c:pt>
                <c:pt idx="70">
                  <c:v>0.60479909519999997</c:v>
                </c:pt>
                <c:pt idx="71">
                  <c:v>0.60255576720000004</c:v>
                </c:pt>
                <c:pt idx="72">
                  <c:v>0.64614552000000003</c:v>
                </c:pt>
                <c:pt idx="73">
                  <c:v>0.71142758400000006</c:v>
                </c:pt>
                <c:pt idx="74">
                  <c:v>0.75948265680000016</c:v>
                </c:pt>
                <c:pt idx="75">
                  <c:v>0.62065814400000008</c:v>
                </c:pt>
                <c:pt idx="76">
                  <c:v>0.60258807600000008</c:v>
                </c:pt>
                <c:pt idx="77">
                  <c:v>0.52570166640000004</c:v>
                </c:pt>
                <c:pt idx="78">
                  <c:v>0.38755259040000001</c:v>
                </c:pt>
                <c:pt idx="79">
                  <c:v>0.14101541519999999</c:v>
                </c:pt>
                <c:pt idx="80">
                  <c:v>0.47009212560000002</c:v>
                </c:pt>
                <c:pt idx="81">
                  <c:v>0.6753551136</c:v>
                </c:pt>
                <c:pt idx="82">
                  <c:v>0.74114101200000004</c:v>
                </c:pt>
                <c:pt idx="83">
                  <c:v>0.57811629360000005</c:v>
                </c:pt>
                <c:pt idx="84">
                  <c:v>0.30992978399999999</c:v>
                </c:pt>
                <c:pt idx="85">
                  <c:v>0.14971257839999999</c:v>
                </c:pt>
                <c:pt idx="86">
                  <c:v>7.9941419999999999E-2</c:v>
                </c:pt>
                <c:pt idx="87">
                  <c:v>8.6206888800000006E-2</c:v>
                </c:pt>
                <c:pt idx="88">
                  <c:v>9.2164204799999996E-2</c:v>
                </c:pt>
                <c:pt idx="89">
                  <c:v>0.29921362560000003</c:v>
                </c:pt>
                <c:pt idx="90">
                  <c:v>0.46216854479999997</c:v>
                </c:pt>
                <c:pt idx="91">
                  <c:v>0.6109191744000001</c:v>
                </c:pt>
                <c:pt idx="92">
                  <c:v>0.66323900880000008</c:v>
                </c:pt>
                <c:pt idx="93">
                  <c:v>0.7063218792</c:v>
                </c:pt>
                <c:pt idx="94">
                  <c:v>0.75412305359999998</c:v>
                </c:pt>
                <c:pt idx="95">
                  <c:v>0.79610010959999999</c:v>
                </c:pt>
                <c:pt idx="96">
                  <c:v>0.82044509520000009</c:v>
                </c:pt>
                <c:pt idx="97">
                  <c:v>0.95629902720000004</c:v>
                </c:pt>
                <c:pt idx="98">
                  <c:v>0.8628077232000001</c:v>
                </c:pt>
                <c:pt idx="99">
                  <c:v>0.89719068720000006</c:v>
                </c:pt>
                <c:pt idx="100">
                  <c:v>0.97278230639999996</c:v>
                </c:pt>
                <c:pt idx="101">
                  <c:v>1.0208937672</c:v>
                </c:pt>
                <c:pt idx="102">
                  <c:v>0.87763319520000005</c:v>
                </c:pt>
                <c:pt idx="103">
                  <c:v>0.32711349360000003</c:v>
                </c:pt>
                <c:pt idx="104">
                  <c:v>0.24438376320000002</c:v>
                </c:pt>
                <c:pt idx="105">
                  <c:v>0.24157746960000001</c:v>
                </c:pt>
                <c:pt idx="106">
                  <c:v>0.29364066240000003</c:v>
                </c:pt>
                <c:pt idx="107">
                  <c:v>0.55869017040000002</c:v>
                </c:pt>
                <c:pt idx="108">
                  <c:v>0.56343346800000005</c:v>
                </c:pt>
                <c:pt idx="109">
                  <c:v>0.57586229760000007</c:v>
                </c:pt>
                <c:pt idx="110">
                  <c:v>0.61657656720000009</c:v>
                </c:pt>
                <c:pt idx="111">
                  <c:v>0.63246792480000003</c:v>
                </c:pt>
                <c:pt idx="112">
                  <c:v>0.48607827600000003</c:v>
                </c:pt>
                <c:pt idx="113">
                  <c:v>0.22843906560000002</c:v>
                </c:pt>
                <c:pt idx="114">
                  <c:v>0.55106742720000002</c:v>
                </c:pt>
                <c:pt idx="115">
                  <c:v>0.78847370880000001</c:v>
                </c:pt>
                <c:pt idx="116">
                  <c:v>0.88607950800000002</c:v>
                </c:pt>
                <c:pt idx="117">
                  <c:v>0.80693392080000004</c:v>
                </c:pt>
                <c:pt idx="118">
                  <c:v>0.80416359360000012</c:v>
                </c:pt>
                <c:pt idx="119">
                  <c:v>0.6740743440000001</c:v>
                </c:pt>
                <c:pt idx="120">
                  <c:v>0.52459188960000003</c:v>
                </c:pt>
                <c:pt idx="121">
                  <c:v>0.18082290479999999</c:v>
                </c:pt>
                <c:pt idx="122">
                  <c:v>0.16257452880000001</c:v>
                </c:pt>
                <c:pt idx="123">
                  <c:v>0.27931384320000002</c:v>
                </c:pt>
                <c:pt idx="124">
                  <c:v>0.3438229344</c:v>
                </c:pt>
                <c:pt idx="125">
                  <c:v>0.39746041920000003</c:v>
                </c:pt>
                <c:pt idx="126">
                  <c:v>0.46017972480000002</c:v>
                </c:pt>
                <c:pt idx="127">
                  <c:v>0.52685777280000001</c:v>
                </c:pt>
                <c:pt idx="128">
                  <c:v>0.58851881280000007</c:v>
                </c:pt>
                <c:pt idx="129">
                  <c:v>0.66580572960000006</c:v>
                </c:pt>
                <c:pt idx="130">
                  <c:v>0.62628566640000005</c:v>
                </c:pt>
                <c:pt idx="131">
                  <c:v>0.52434896399999997</c:v>
                </c:pt>
                <c:pt idx="132">
                  <c:v>0.55646116800000001</c:v>
                </c:pt>
                <c:pt idx="133">
                  <c:v>0.5097097248000001</c:v>
                </c:pt>
                <c:pt idx="134">
                  <c:v>0.50177151360000005</c:v>
                </c:pt>
                <c:pt idx="135">
                  <c:v>0.59604249600000003</c:v>
                </c:pt>
                <c:pt idx="136">
                  <c:v>0.54021471840000002</c:v>
                </c:pt>
                <c:pt idx="137">
                  <c:v>0.58640715840000002</c:v>
                </c:pt>
                <c:pt idx="138">
                  <c:v>0.48518216399999997</c:v>
                </c:pt>
                <c:pt idx="139">
                  <c:v>0.42405696240000001</c:v>
                </c:pt>
                <c:pt idx="140">
                  <c:v>0.58001550239999999</c:v>
                </c:pt>
                <c:pt idx="141">
                  <c:v>0.49243335599999999</c:v>
                </c:pt>
                <c:pt idx="142">
                  <c:v>0.27012503760000001</c:v>
                </c:pt>
                <c:pt idx="143">
                  <c:v>0.37482719040000007</c:v>
                </c:pt>
                <c:pt idx="144">
                  <c:v>0.51825113519999999</c:v>
                </c:pt>
                <c:pt idx="145">
                  <c:v>0.74237118480000008</c:v>
                </c:pt>
                <c:pt idx="146">
                  <c:v>0.98247890879999999</c:v>
                </c:pt>
                <c:pt idx="147">
                  <c:v>1.0960662864000001</c:v>
                </c:pt>
                <c:pt idx="148">
                  <c:v>1.1659788720000002</c:v>
                </c:pt>
                <c:pt idx="149">
                  <c:v>1.1922995712000002</c:v>
                </c:pt>
                <c:pt idx="150">
                  <c:v>0.1429615632</c:v>
                </c:pt>
                <c:pt idx="151">
                  <c:v>0.36911920079999999</c:v>
                </c:pt>
                <c:pt idx="152">
                  <c:v>0.42519843840000004</c:v>
                </c:pt>
                <c:pt idx="153">
                  <c:v>0.52864725360000009</c:v>
                </c:pt>
                <c:pt idx="154">
                  <c:v>0.62179230480000014</c:v>
                </c:pt>
                <c:pt idx="155">
                  <c:v>0.75050538240000009</c:v>
                </c:pt>
                <c:pt idx="156">
                  <c:v>0.64109437439999994</c:v>
                </c:pt>
                <c:pt idx="157">
                  <c:v>0.477816672</c:v>
                </c:pt>
                <c:pt idx="158">
                  <c:v>0.34542374400000003</c:v>
                </c:pt>
                <c:pt idx="159">
                  <c:v>0.19590197040000001</c:v>
                </c:pt>
                <c:pt idx="160">
                  <c:v>0.17847259199999999</c:v>
                </c:pt>
                <c:pt idx="161">
                  <c:v>0.45986547600000005</c:v>
                </c:pt>
                <c:pt idx="162">
                  <c:v>0.52808002080000005</c:v>
                </c:pt>
                <c:pt idx="163">
                  <c:v>0.72589217280000007</c:v>
                </c:pt>
                <c:pt idx="164">
                  <c:v>0.72752620560000003</c:v>
                </c:pt>
                <c:pt idx="165">
                  <c:v>0.7328053416000001</c:v>
                </c:pt>
                <c:pt idx="166">
                  <c:v>0.73219665599999995</c:v>
                </c:pt>
                <c:pt idx="167">
                  <c:v>0.7476966504</c:v>
                </c:pt>
                <c:pt idx="168">
                  <c:v>0.73821828479999996</c:v>
                </c:pt>
                <c:pt idx="169">
                  <c:v>0.64984914480000011</c:v>
                </c:pt>
                <c:pt idx="170">
                  <c:v>0.56375289839999998</c:v>
                </c:pt>
                <c:pt idx="171">
                  <c:v>0.39194323440000001</c:v>
                </c:pt>
                <c:pt idx="172">
                  <c:v>0.23634131040000003</c:v>
                </c:pt>
                <c:pt idx="173">
                  <c:v>0.15930951120000003</c:v>
                </c:pt>
                <c:pt idx="174">
                  <c:v>0.1171882848</c:v>
                </c:pt>
                <c:pt idx="175">
                  <c:v>0.1131426744</c:v>
                </c:pt>
                <c:pt idx="176">
                  <c:v>0.17520513600000001</c:v>
                </c:pt>
                <c:pt idx="177">
                  <c:v>0.29634454320000003</c:v>
                </c:pt>
                <c:pt idx="178">
                  <c:v>0.40114849920000001</c:v>
                </c:pt>
                <c:pt idx="179">
                  <c:v>0.55249358640000001</c:v>
                </c:pt>
                <c:pt idx="180">
                  <c:v>0.51252455279999998</c:v>
                </c:pt>
                <c:pt idx="181">
                  <c:v>0.2834140128</c:v>
                </c:pt>
                <c:pt idx="182">
                  <c:v>0.42409719600000001</c:v>
                </c:pt>
                <c:pt idx="183">
                  <c:v>0.41835964080000004</c:v>
                </c:pt>
                <c:pt idx="184">
                  <c:v>0.39091362000000002</c:v>
                </c:pt>
                <c:pt idx="185">
                  <c:v>0.35819852160000004</c:v>
                </c:pt>
                <c:pt idx="186">
                  <c:v>0.45707228880000006</c:v>
                </c:pt>
                <c:pt idx="187">
                  <c:v>0.50946344639999996</c:v>
                </c:pt>
                <c:pt idx="188">
                  <c:v>0.45776662320000006</c:v>
                </c:pt>
                <c:pt idx="189">
                  <c:v>0.35805038880000001</c:v>
                </c:pt>
                <c:pt idx="190">
                  <c:v>0.27898648799999998</c:v>
                </c:pt>
                <c:pt idx="191">
                  <c:v>0.21229411440000001</c:v>
                </c:pt>
                <c:pt idx="192">
                  <c:v>0.12258111120000001</c:v>
                </c:pt>
                <c:pt idx="193">
                  <c:v>0.35335677360000006</c:v>
                </c:pt>
                <c:pt idx="194">
                  <c:v>0.39664233600000004</c:v>
                </c:pt>
                <c:pt idx="195">
                  <c:v>0.47274906719999998</c:v>
                </c:pt>
                <c:pt idx="196">
                  <c:v>0.45521300880000004</c:v>
                </c:pt>
                <c:pt idx="197">
                  <c:v>0.40964632320000005</c:v>
                </c:pt>
                <c:pt idx="198">
                  <c:v>0.51786586800000001</c:v>
                </c:pt>
              </c:numCache>
            </c:numRef>
          </c:xVal>
          <c:yVal>
            <c:numRef>
              <c:f>All_XS_Trimmed!$Z$8:$Z$206</c:f>
              <c:numCache>
                <c:formatCode>0.00</c:formatCode>
                <c:ptCount val="199"/>
                <c:pt idx="0">
                  <c:v>0.14999817600000001</c:v>
                </c:pt>
                <c:pt idx="1">
                  <c:v>0.21999732480000003</c:v>
                </c:pt>
                <c:pt idx="2">
                  <c:v>0.32999598720000006</c:v>
                </c:pt>
                <c:pt idx="3">
                  <c:v>0.33499592640000009</c:v>
                </c:pt>
                <c:pt idx="4">
                  <c:v>0.33999586560000011</c:v>
                </c:pt>
                <c:pt idx="5">
                  <c:v>0.44999452800000006</c:v>
                </c:pt>
                <c:pt idx="6">
                  <c:v>0.51999367680000008</c:v>
                </c:pt>
                <c:pt idx="7">
                  <c:v>0.51999367680000008</c:v>
                </c:pt>
                <c:pt idx="8">
                  <c:v>0.51816000000000006</c:v>
                </c:pt>
                <c:pt idx="9">
                  <c:v>0.61999246080000003</c:v>
                </c:pt>
                <c:pt idx="10">
                  <c:v>0.67056000000000004</c:v>
                </c:pt>
                <c:pt idx="11">
                  <c:v>0.699991488</c:v>
                </c:pt>
                <c:pt idx="12">
                  <c:v>0.78999039360000012</c:v>
                </c:pt>
                <c:pt idx="13">
                  <c:v>0.83998978560000004</c:v>
                </c:pt>
                <c:pt idx="14">
                  <c:v>0.82296000000000014</c:v>
                </c:pt>
                <c:pt idx="15">
                  <c:v>0.72999112320000004</c:v>
                </c:pt>
                <c:pt idx="16">
                  <c:v>0.53339999999999999</c:v>
                </c:pt>
                <c:pt idx="17">
                  <c:v>0.35052</c:v>
                </c:pt>
                <c:pt idx="18">
                  <c:v>0.18999768960000002</c:v>
                </c:pt>
                <c:pt idx="19">
                  <c:v>0.1799978112</c:v>
                </c:pt>
                <c:pt idx="20">
                  <c:v>0.32004000000000005</c:v>
                </c:pt>
                <c:pt idx="21">
                  <c:v>0.42999477120000001</c:v>
                </c:pt>
                <c:pt idx="22">
                  <c:v>0.42671999999999999</c:v>
                </c:pt>
                <c:pt idx="23">
                  <c:v>0.349995744</c:v>
                </c:pt>
                <c:pt idx="24">
                  <c:v>0.33528000000000002</c:v>
                </c:pt>
                <c:pt idx="25">
                  <c:v>0.28999647359999997</c:v>
                </c:pt>
                <c:pt idx="26">
                  <c:v>0.19812000000000002</c:v>
                </c:pt>
                <c:pt idx="27">
                  <c:v>0.14999817600000001</c:v>
                </c:pt>
                <c:pt idx="28">
                  <c:v>0.26999671680000004</c:v>
                </c:pt>
                <c:pt idx="29">
                  <c:v>0.35052</c:v>
                </c:pt>
                <c:pt idx="30">
                  <c:v>0.66999185280000018</c:v>
                </c:pt>
                <c:pt idx="31">
                  <c:v>0.85343999999999998</c:v>
                </c:pt>
                <c:pt idx="32">
                  <c:v>0.12999841920000002</c:v>
                </c:pt>
                <c:pt idx="33">
                  <c:v>0.28955999999999998</c:v>
                </c:pt>
                <c:pt idx="34">
                  <c:v>0.28999647359999997</c:v>
                </c:pt>
                <c:pt idx="35">
                  <c:v>0.32004000000000005</c:v>
                </c:pt>
                <c:pt idx="36">
                  <c:v>0.39999513600000008</c:v>
                </c:pt>
                <c:pt idx="37">
                  <c:v>0.47244000000000003</c:v>
                </c:pt>
                <c:pt idx="38">
                  <c:v>0.47999416319999999</c:v>
                </c:pt>
                <c:pt idx="39">
                  <c:v>0.57911999999999997</c:v>
                </c:pt>
                <c:pt idx="40">
                  <c:v>0.61999246080000003</c:v>
                </c:pt>
                <c:pt idx="41">
                  <c:v>0.73152000000000006</c:v>
                </c:pt>
                <c:pt idx="42">
                  <c:v>0.61999246080000003</c:v>
                </c:pt>
                <c:pt idx="43">
                  <c:v>0.57911999999999997</c:v>
                </c:pt>
                <c:pt idx="44">
                  <c:v>0.52999355520000002</c:v>
                </c:pt>
                <c:pt idx="45">
                  <c:v>0.45720000000000005</c:v>
                </c:pt>
                <c:pt idx="46">
                  <c:v>0.25999683840000004</c:v>
                </c:pt>
                <c:pt idx="47">
                  <c:v>0.1199985408</c:v>
                </c:pt>
                <c:pt idx="48">
                  <c:v>0.12999841920000002</c:v>
                </c:pt>
                <c:pt idx="49">
                  <c:v>0.25908000000000003</c:v>
                </c:pt>
                <c:pt idx="50">
                  <c:v>0.37999537920000004</c:v>
                </c:pt>
                <c:pt idx="51">
                  <c:v>0.50292000000000003</c:v>
                </c:pt>
                <c:pt idx="52">
                  <c:v>0.64999209600000007</c:v>
                </c:pt>
                <c:pt idx="53">
                  <c:v>0.65532000000000001</c:v>
                </c:pt>
                <c:pt idx="54">
                  <c:v>0.67999173120000023</c:v>
                </c:pt>
                <c:pt idx="55">
                  <c:v>0.73152000000000006</c:v>
                </c:pt>
                <c:pt idx="56">
                  <c:v>0.699991488</c:v>
                </c:pt>
                <c:pt idx="57">
                  <c:v>0.77723999999999993</c:v>
                </c:pt>
                <c:pt idx="58">
                  <c:v>0.64999209600000007</c:v>
                </c:pt>
                <c:pt idx="59">
                  <c:v>0.53339999999999999</c:v>
                </c:pt>
                <c:pt idx="60">
                  <c:v>0.38999525760000009</c:v>
                </c:pt>
                <c:pt idx="61">
                  <c:v>0.51816000000000006</c:v>
                </c:pt>
                <c:pt idx="62">
                  <c:v>0.39999513600000008</c:v>
                </c:pt>
                <c:pt idx="63">
                  <c:v>0.32999598720000006</c:v>
                </c:pt>
                <c:pt idx="64">
                  <c:v>0.36999550080000004</c:v>
                </c:pt>
                <c:pt idx="65">
                  <c:v>0.35052</c:v>
                </c:pt>
                <c:pt idx="66">
                  <c:v>0.28999647359999997</c:v>
                </c:pt>
                <c:pt idx="67">
                  <c:v>0.33528000000000002</c:v>
                </c:pt>
                <c:pt idx="68">
                  <c:v>0.50999379840000003</c:v>
                </c:pt>
                <c:pt idx="69">
                  <c:v>0.57911999999999997</c:v>
                </c:pt>
                <c:pt idx="70">
                  <c:v>0.60999258240000009</c:v>
                </c:pt>
                <c:pt idx="71">
                  <c:v>0.65532000000000001</c:v>
                </c:pt>
                <c:pt idx="72">
                  <c:v>0.66999185280000018</c:v>
                </c:pt>
                <c:pt idx="73">
                  <c:v>0.74676000000000009</c:v>
                </c:pt>
                <c:pt idx="74">
                  <c:v>0.65999197440000013</c:v>
                </c:pt>
                <c:pt idx="75">
                  <c:v>0.59436</c:v>
                </c:pt>
                <c:pt idx="76">
                  <c:v>0.46999428480000005</c:v>
                </c:pt>
                <c:pt idx="77">
                  <c:v>0.41148000000000007</c:v>
                </c:pt>
                <c:pt idx="78">
                  <c:v>0.26999671680000004</c:v>
                </c:pt>
                <c:pt idx="79">
                  <c:v>0.27999659520000003</c:v>
                </c:pt>
                <c:pt idx="80">
                  <c:v>0.48768000000000006</c:v>
                </c:pt>
                <c:pt idx="81">
                  <c:v>0.63999221760000014</c:v>
                </c:pt>
                <c:pt idx="82">
                  <c:v>0.45720000000000005</c:v>
                </c:pt>
                <c:pt idx="83">
                  <c:v>0.60960000000000003</c:v>
                </c:pt>
                <c:pt idx="84">
                  <c:v>0.22999720320000003</c:v>
                </c:pt>
                <c:pt idx="85">
                  <c:v>0.27999659520000003</c:v>
                </c:pt>
                <c:pt idx="86">
                  <c:v>0.18288000000000001</c:v>
                </c:pt>
                <c:pt idx="87">
                  <c:v>9.9998784000000021E-2</c:v>
                </c:pt>
                <c:pt idx="88">
                  <c:v>0.24999696000000002</c:v>
                </c:pt>
                <c:pt idx="89">
                  <c:v>0.44999452800000006</c:v>
                </c:pt>
                <c:pt idx="90">
                  <c:v>0.45720000000000005</c:v>
                </c:pt>
                <c:pt idx="91">
                  <c:v>0.55999319040000006</c:v>
                </c:pt>
                <c:pt idx="92">
                  <c:v>0.67056000000000004</c:v>
                </c:pt>
                <c:pt idx="93">
                  <c:v>0.70999136640000005</c:v>
                </c:pt>
                <c:pt idx="94">
                  <c:v>0.73152000000000006</c:v>
                </c:pt>
                <c:pt idx="95">
                  <c:v>0.699991488</c:v>
                </c:pt>
                <c:pt idx="96">
                  <c:v>0.70104</c:v>
                </c:pt>
                <c:pt idx="97">
                  <c:v>0.74999088000000014</c:v>
                </c:pt>
                <c:pt idx="98">
                  <c:v>0.82296000000000014</c:v>
                </c:pt>
                <c:pt idx="99">
                  <c:v>0.85998954240000003</c:v>
                </c:pt>
                <c:pt idx="100">
                  <c:v>0.73152000000000006</c:v>
                </c:pt>
                <c:pt idx="101">
                  <c:v>0.65999197440000013</c:v>
                </c:pt>
                <c:pt idx="102">
                  <c:v>0.48768000000000006</c:v>
                </c:pt>
                <c:pt idx="103">
                  <c:v>0.28999647359999997</c:v>
                </c:pt>
                <c:pt idx="104">
                  <c:v>0.10999866240000002</c:v>
                </c:pt>
                <c:pt idx="105">
                  <c:v>0.24384000000000003</c:v>
                </c:pt>
                <c:pt idx="106">
                  <c:v>0.42999477120000001</c:v>
                </c:pt>
                <c:pt idx="107">
                  <c:v>0.64008000000000009</c:v>
                </c:pt>
                <c:pt idx="108">
                  <c:v>0.45999440640000006</c:v>
                </c:pt>
                <c:pt idx="109">
                  <c:v>0.53999343360000007</c:v>
                </c:pt>
                <c:pt idx="110">
                  <c:v>0.85343999999999998</c:v>
                </c:pt>
                <c:pt idx="111">
                  <c:v>0.46999428480000005</c:v>
                </c:pt>
                <c:pt idx="112">
                  <c:v>0.45720000000000005</c:v>
                </c:pt>
                <c:pt idx="113">
                  <c:v>0.30480000000000002</c:v>
                </c:pt>
                <c:pt idx="114">
                  <c:v>0.66999185280000018</c:v>
                </c:pt>
                <c:pt idx="115">
                  <c:v>0.73152000000000006</c:v>
                </c:pt>
                <c:pt idx="116">
                  <c:v>0.80999015040000022</c:v>
                </c:pt>
                <c:pt idx="117">
                  <c:v>0.73152000000000006</c:v>
                </c:pt>
                <c:pt idx="118">
                  <c:v>0.65999197440000013</c:v>
                </c:pt>
                <c:pt idx="119">
                  <c:v>0.60960000000000003</c:v>
                </c:pt>
                <c:pt idx="120">
                  <c:v>0.50999379840000003</c:v>
                </c:pt>
                <c:pt idx="121">
                  <c:v>0.51816000000000006</c:v>
                </c:pt>
                <c:pt idx="122">
                  <c:v>0.21999732480000003</c:v>
                </c:pt>
                <c:pt idx="123">
                  <c:v>0.27432000000000001</c:v>
                </c:pt>
                <c:pt idx="124">
                  <c:v>0.32999598720000006</c:v>
                </c:pt>
                <c:pt idx="125">
                  <c:v>0.33528000000000002</c:v>
                </c:pt>
                <c:pt idx="126">
                  <c:v>0.38999525760000009</c:v>
                </c:pt>
                <c:pt idx="127">
                  <c:v>0.49999392000000004</c:v>
                </c:pt>
                <c:pt idx="128">
                  <c:v>0.54864000000000002</c:v>
                </c:pt>
                <c:pt idx="129">
                  <c:v>0.51999367680000008</c:v>
                </c:pt>
                <c:pt idx="130">
                  <c:v>0.51816000000000006</c:v>
                </c:pt>
                <c:pt idx="131">
                  <c:v>0.45999440640000006</c:v>
                </c:pt>
                <c:pt idx="132">
                  <c:v>0.39624000000000004</c:v>
                </c:pt>
                <c:pt idx="133">
                  <c:v>0.39999513600000008</c:v>
                </c:pt>
                <c:pt idx="134">
                  <c:v>0.42671999999999999</c:v>
                </c:pt>
                <c:pt idx="135">
                  <c:v>0.42999477120000001</c:v>
                </c:pt>
                <c:pt idx="136">
                  <c:v>0.45720000000000005</c:v>
                </c:pt>
                <c:pt idx="137">
                  <c:v>0.42999477120000001</c:v>
                </c:pt>
                <c:pt idx="138">
                  <c:v>0.45720000000000005</c:v>
                </c:pt>
                <c:pt idx="139">
                  <c:v>0.48999404160000004</c:v>
                </c:pt>
                <c:pt idx="140">
                  <c:v>0.39624000000000004</c:v>
                </c:pt>
                <c:pt idx="141">
                  <c:v>0.36576000000000003</c:v>
                </c:pt>
                <c:pt idx="142">
                  <c:v>0.30480000000000002</c:v>
                </c:pt>
                <c:pt idx="143">
                  <c:v>0.48999404160000004</c:v>
                </c:pt>
                <c:pt idx="144">
                  <c:v>0.60960000000000003</c:v>
                </c:pt>
                <c:pt idx="145">
                  <c:v>0.76999063680000013</c:v>
                </c:pt>
                <c:pt idx="146">
                  <c:v>0.94488000000000005</c:v>
                </c:pt>
                <c:pt idx="147">
                  <c:v>1.0399873536000002</c:v>
                </c:pt>
                <c:pt idx="148">
                  <c:v>1.09728</c:v>
                </c:pt>
                <c:pt idx="149">
                  <c:v>1.2299850432000001</c:v>
                </c:pt>
                <c:pt idx="150">
                  <c:v>0.21999732480000003</c:v>
                </c:pt>
                <c:pt idx="151">
                  <c:v>0.24384000000000003</c:v>
                </c:pt>
                <c:pt idx="152">
                  <c:v>0.38999525760000009</c:v>
                </c:pt>
                <c:pt idx="153">
                  <c:v>0.36576000000000003</c:v>
                </c:pt>
                <c:pt idx="154">
                  <c:v>0.49999392000000004</c:v>
                </c:pt>
                <c:pt idx="155">
                  <c:v>0.64008000000000009</c:v>
                </c:pt>
                <c:pt idx="156">
                  <c:v>0.65999197440000013</c:v>
                </c:pt>
                <c:pt idx="157">
                  <c:v>0.45720000000000005</c:v>
                </c:pt>
                <c:pt idx="158">
                  <c:v>0.45720000000000005</c:v>
                </c:pt>
                <c:pt idx="159">
                  <c:v>0.10999866240000002</c:v>
                </c:pt>
                <c:pt idx="160">
                  <c:v>0.38999525760000009</c:v>
                </c:pt>
                <c:pt idx="161">
                  <c:v>0.30480000000000002</c:v>
                </c:pt>
                <c:pt idx="162">
                  <c:v>0.48999404160000004</c:v>
                </c:pt>
                <c:pt idx="163">
                  <c:v>0.67999173120000023</c:v>
                </c:pt>
                <c:pt idx="164">
                  <c:v>0.73152000000000006</c:v>
                </c:pt>
                <c:pt idx="165">
                  <c:v>1.0199875968000001</c:v>
                </c:pt>
                <c:pt idx="166">
                  <c:v>0.97536000000000012</c:v>
                </c:pt>
                <c:pt idx="167">
                  <c:v>0.699991488</c:v>
                </c:pt>
                <c:pt idx="168">
                  <c:v>0.60960000000000003</c:v>
                </c:pt>
                <c:pt idx="169">
                  <c:v>0.64999209600000007</c:v>
                </c:pt>
                <c:pt idx="170">
                  <c:v>0.51816000000000006</c:v>
                </c:pt>
                <c:pt idx="171">
                  <c:v>0.52999355520000002</c:v>
                </c:pt>
                <c:pt idx="172">
                  <c:v>0.30480000000000002</c:v>
                </c:pt>
                <c:pt idx="173">
                  <c:v>0.1199985408</c:v>
                </c:pt>
                <c:pt idx="174">
                  <c:v>0.12999841920000002</c:v>
                </c:pt>
                <c:pt idx="175">
                  <c:v>0.12999841920000002</c:v>
                </c:pt>
                <c:pt idx="176">
                  <c:v>0.19999756800000004</c:v>
                </c:pt>
                <c:pt idx="177">
                  <c:v>0.36576000000000003</c:v>
                </c:pt>
                <c:pt idx="178">
                  <c:v>0.46999428480000005</c:v>
                </c:pt>
                <c:pt idx="179">
                  <c:v>0.48768000000000006</c:v>
                </c:pt>
                <c:pt idx="180">
                  <c:v>0.61999246080000003</c:v>
                </c:pt>
                <c:pt idx="181">
                  <c:v>0.36576000000000003</c:v>
                </c:pt>
                <c:pt idx="182">
                  <c:v>0.42671999999999999</c:v>
                </c:pt>
                <c:pt idx="183">
                  <c:v>0.46999428480000005</c:v>
                </c:pt>
                <c:pt idx="184">
                  <c:v>0.54864000000000002</c:v>
                </c:pt>
                <c:pt idx="185">
                  <c:v>0.46999428480000005</c:v>
                </c:pt>
                <c:pt idx="186">
                  <c:v>0.64008000000000009</c:v>
                </c:pt>
                <c:pt idx="187">
                  <c:v>0.64999209600000007</c:v>
                </c:pt>
                <c:pt idx="188">
                  <c:v>0.64008000000000009</c:v>
                </c:pt>
                <c:pt idx="189">
                  <c:v>0.60999258240000009</c:v>
                </c:pt>
                <c:pt idx="190">
                  <c:v>0.33528000000000002</c:v>
                </c:pt>
                <c:pt idx="191">
                  <c:v>0.24384000000000003</c:v>
                </c:pt>
                <c:pt idx="192">
                  <c:v>0.1199985408</c:v>
                </c:pt>
                <c:pt idx="193">
                  <c:v>0.42671999999999999</c:v>
                </c:pt>
                <c:pt idx="194">
                  <c:v>0.71999124479999999</c:v>
                </c:pt>
                <c:pt idx="195">
                  <c:v>0.48768000000000006</c:v>
                </c:pt>
                <c:pt idx="196">
                  <c:v>0.54999331200000012</c:v>
                </c:pt>
                <c:pt idx="197">
                  <c:v>0.45720000000000005</c:v>
                </c:pt>
                <c:pt idx="198">
                  <c:v>0.54999331200000012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00928"/>
        <c:axId val="124707200"/>
      </c:scatterChart>
      <c:valAx>
        <c:axId val="124700928"/>
        <c:scaling>
          <c:orientation val="minMax"/>
          <c:max val="1.3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Dmod (m)</a:t>
                </a:r>
              </a:p>
            </c:rich>
          </c:tx>
          <c:layout>
            <c:manualLayout>
              <c:xMode val="edge"/>
              <c:yMode val="edge"/>
              <c:x val="0.50268443007124108"/>
              <c:y val="0.91495970356646594"/>
            </c:manualLayout>
          </c:layout>
          <c:overlay val="0"/>
        </c:title>
        <c:numFmt formatCode="0.0" sourceLinked="0"/>
        <c:majorTickMark val="in"/>
        <c:minorTickMark val="in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4707200"/>
        <c:crosses val="autoZero"/>
        <c:crossBetween val="midCat"/>
        <c:majorUnit val="0.5"/>
        <c:minorUnit val="0.10000000000000001"/>
      </c:valAx>
      <c:valAx>
        <c:axId val="124707200"/>
        <c:scaling>
          <c:orientation val="minMax"/>
          <c:max val="1.2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Dobs (m)</a:t>
                </a:r>
              </a:p>
            </c:rich>
          </c:tx>
          <c:layout>
            <c:manualLayout>
              <c:xMode val="edge"/>
              <c:yMode val="edge"/>
              <c:x val="0.0026183836395450612"/>
              <c:y val="0.34108626421697397"/>
            </c:manualLayout>
          </c:layout>
          <c:overlay val="0"/>
        </c:title>
        <c:numFmt formatCode="0.0" sourceLinked="0"/>
        <c:majorTickMark val="in"/>
        <c:minorTickMark val="in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24700928"/>
        <c:crosses val="autoZero"/>
        <c:crossBetween val="midCat"/>
        <c:majorUnit val="0.30000000000000032"/>
        <c:minorUnit val="0.10000000000000001"/>
      </c:valAx>
      <c:spPr>
        <a:ln>
          <a:solidFill>
            <a:sysClr val="window" lastClr="ffffff">
              <a:lumMod val="65000"/>
            </a:sysClr>
          </a:solidFill>
        </a:ln>
      </c:spPr>
    </c:plotArea>
    <c:plotVisOnly val="1"/>
    <c:dispBlanksAs val="gap"/>
    <c:showDLblsOverMax val="0"/>
  </c:chart>
  <c:spPr>
    <a:ln>
      <a:noFill/>
    </a:ln>
  </c:spPr>
  <c:txPr>
    <a:bodyPr/>
    <a:lstStyle/>
    <a:p>
      <a:pPr>
        <a:defRPr sz="1200"/>
      </a:pPr>
      <a:endParaRPr lang="en-US"/>
    </a:p>
  </c:txPr>
  <c:printSettings>
    <c:headerFooter alignWithMargins="0"/>
    <c:pageMargins l="0.75000000000000466" r="0.75000000000000466" t="1" b="1" header="0.5" footer="0.5"/>
    <c:pageSetup orientation="landscape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Velocity Difference (Model - Observed)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 xml:space="preserve">'All_XS_Analysis (ft)'!$G$4:$G$32</c:f>
              <c:strCache>
                <c:ptCount val="29"/>
                <c:pt idx="0">
                  <c:v>-3</c:v>
                </c:pt>
                <c:pt idx="1">
                  <c:v>-2</c:v>
                </c:pt>
                <c:pt idx="2">
                  <c:v>-1.5</c:v>
                </c:pt>
                <c:pt idx="3">
                  <c:v>-1.0</c:v>
                </c:pt>
                <c:pt idx="4">
                  <c:v>-0.9</c:v>
                </c:pt>
                <c:pt idx="5">
                  <c:v>-0.8</c:v>
                </c:pt>
                <c:pt idx="6">
                  <c:v>-0.7</c:v>
                </c:pt>
                <c:pt idx="7">
                  <c:v>-0.6</c:v>
                </c:pt>
                <c:pt idx="8">
                  <c:v>-0.5</c:v>
                </c:pt>
                <c:pt idx="9">
                  <c:v>-0.4</c:v>
                </c:pt>
                <c:pt idx="10">
                  <c:v>-0.3</c:v>
                </c:pt>
                <c:pt idx="11">
                  <c:v>-0.2</c:v>
                </c:pt>
                <c:pt idx="12">
                  <c:v>-0.1</c:v>
                </c:pt>
                <c:pt idx="13">
                  <c:v>0</c:v>
                </c:pt>
                <c:pt idx="14">
                  <c:v>0.1</c:v>
                </c:pt>
                <c:pt idx="15">
                  <c:v>0.2</c:v>
                </c:pt>
                <c:pt idx="16">
                  <c:v>0.3</c:v>
                </c:pt>
                <c:pt idx="17">
                  <c:v>0.4</c:v>
                </c:pt>
                <c:pt idx="18">
                  <c:v>0.5</c:v>
                </c:pt>
                <c:pt idx="19">
                  <c:v>0.6</c:v>
                </c:pt>
                <c:pt idx="20">
                  <c:v>0.7</c:v>
                </c:pt>
                <c:pt idx="21">
                  <c:v>0.8</c:v>
                </c:pt>
                <c:pt idx="22">
                  <c:v>0.9</c:v>
                </c:pt>
                <c:pt idx="23">
                  <c:v>1</c:v>
                </c:pt>
                <c:pt idx="24">
                  <c:v>1.5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More</c:v>
                </c:pt>
              </c:strCache>
            </c:strRef>
          </c:cat>
          <c:val>
            <c:numRef>
              <c:f xml:space="preserve">'All_XS_Analysis (ft)'!$H$4:$H$32</c:f>
              <c:numCache>
                <c:formatCode>General</c:formatCode>
                <c:ptCount val="29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 formatCode="0">
                  <c:v>14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9</c:v>
                </c:pt>
                <c:pt idx="10">
                  <c:v>12</c:v>
                </c:pt>
                <c:pt idx="11">
                  <c:v>16</c:v>
                </c:pt>
                <c:pt idx="12">
                  <c:v>17</c:v>
                </c:pt>
                <c:pt idx="13">
                  <c:v>17</c:v>
                </c:pt>
                <c:pt idx="14">
                  <c:v>17</c:v>
                </c:pt>
                <c:pt idx="15">
                  <c:v>17</c:v>
                </c:pt>
                <c:pt idx="16">
                  <c:v>9</c:v>
                </c:pt>
                <c:pt idx="17">
                  <c:v>11</c:v>
                </c:pt>
                <c:pt idx="18">
                  <c:v>5</c:v>
                </c:pt>
                <c:pt idx="19">
                  <c:v>9</c:v>
                </c:pt>
                <c:pt idx="20">
                  <c:v>7</c:v>
                </c:pt>
                <c:pt idx="21">
                  <c:v>8</c:v>
                </c:pt>
                <c:pt idx="22">
                  <c:v>5</c:v>
                </c:pt>
                <c:pt idx="23">
                  <c:v>6</c:v>
                </c:pt>
                <c:pt idx="24">
                  <c:v>8</c:v>
                </c:pt>
                <c:pt idx="25">
                  <c:v>3</c:v>
                </c:pt>
                <c:pt idx="26">
                  <c:v>7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857344"/>
        <c:axId val="124880000"/>
      </c:barChart>
      <c:lineChart>
        <c:grouping val="standard"/>
        <c:varyColors val="0"/>
        <c:ser>
          <c:idx val="1"/>
          <c:order val="1"/>
          <c:tx>
            <c:v xml:space="preserve">Cumulative %</c:v>
          </c:tx>
          <c:cat>
            <c:strRef>
              <c:f xml:space="preserve">'All_XS_Analysis (ft)'!$G$4:$G$32</c:f>
              <c:strCache>
                <c:ptCount val="29"/>
                <c:pt idx="0">
                  <c:v>-3</c:v>
                </c:pt>
                <c:pt idx="1">
                  <c:v>-2</c:v>
                </c:pt>
                <c:pt idx="2">
                  <c:v>-1.5</c:v>
                </c:pt>
                <c:pt idx="3">
                  <c:v>-1.0</c:v>
                </c:pt>
                <c:pt idx="4">
                  <c:v>-0.9</c:v>
                </c:pt>
                <c:pt idx="5">
                  <c:v>-0.8</c:v>
                </c:pt>
                <c:pt idx="6">
                  <c:v>-0.7</c:v>
                </c:pt>
                <c:pt idx="7">
                  <c:v>-0.6</c:v>
                </c:pt>
                <c:pt idx="8">
                  <c:v>-0.5</c:v>
                </c:pt>
                <c:pt idx="9">
                  <c:v>-0.4</c:v>
                </c:pt>
                <c:pt idx="10">
                  <c:v>-0.3</c:v>
                </c:pt>
                <c:pt idx="11">
                  <c:v>-0.2</c:v>
                </c:pt>
                <c:pt idx="12">
                  <c:v>-0.1</c:v>
                </c:pt>
                <c:pt idx="13">
                  <c:v>0</c:v>
                </c:pt>
                <c:pt idx="14">
                  <c:v>0.1</c:v>
                </c:pt>
                <c:pt idx="15">
                  <c:v>0.2</c:v>
                </c:pt>
                <c:pt idx="16">
                  <c:v>0.3</c:v>
                </c:pt>
                <c:pt idx="17">
                  <c:v>0.4</c:v>
                </c:pt>
                <c:pt idx="18">
                  <c:v>0.5</c:v>
                </c:pt>
                <c:pt idx="19">
                  <c:v>0.6</c:v>
                </c:pt>
                <c:pt idx="20">
                  <c:v>0.7</c:v>
                </c:pt>
                <c:pt idx="21">
                  <c:v>0.8</c:v>
                </c:pt>
                <c:pt idx="22">
                  <c:v>0.9</c:v>
                </c:pt>
                <c:pt idx="23">
                  <c:v>1</c:v>
                </c:pt>
                <c:pt idx="24">
                  <c:v>1.5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More</c:v>
                </c:pt>
              </c:strCache>
            </c:strRef>
          </c:cat>
          <c:val>
            <c:numRef>
              <c:f xml:space="preserve">'All_XS_Analysis (ft)'!$I$4:$I$32</c:f>
              <c:numCache>
                <c:formatCode>0.00%</c:formatCode>
                <c:ptCount val="29"/>
                <c:pt idx="0">
                  <c:v>4.5871559633027525E-3</c:v>
                </c:pt>
                <c:pt idx="1">
                  <c:v>1.834862385321101E-2</c:v>
                </c:pt>
                <c:pt idx="2">
                  <c:v>4.1284403669724773E-2</c:v>
                </c:pt>
                <c:pt idx="3">
                  <c:v>0.10550458715596331</c:v>
                </c:pt>
                <c:pt idx="4">
                  <c:v>0.11467889908256881</c:v>
                </c:pt>
                <c:pt idx="5">
                  <c:v>0.12385321100917432</c:v>
                </c:pt>
                <c:pt idx="6">
                  <c:v>0.13302752293577982</c:v>
                </c:pt>
                <c:pt idx="7">
                  <c:v>0.14678899082568808</c:v>
                </c:pt>
                <c:pt idx="8">
                  <c:v>0.16055045871559634</c:v>
                </c:pt>
                <c:pt idx="9">
                  <c:v>0.20183486238532111</c:v>
                </c:pt>
                <c:pt idx="10">
                  <c:v>0.25688073394495414</c:v>
                </c:pt>
                <c:pt idx="11">
                  <c:v>0.33027522935779818</c:v>
                </c:pt>
                <c:pt idx="12">
                  <c:v>0.40825688073394495</c:v>
                </c:pt>
                <c:pt idx="13">
                  <c:v>0.48623853211009177</c:v>
                </c:pt>
                <c:pt idx="14">
                  <c:v>0.56422018348623848</c:v>
                </c:pt>
                <c:pt idx="15">
                  <c:v>0.64220183486238536</c:v>
                </c:pt>
                <c:pt idx="16">
                  <c:v>0.6834862385321101</c:v>
                </c:pt>
                <c:pt idx="17">
                  <c:v>0.73394495412844041</c:v>
                </c:pt>
                <c:pt idx="18">
                  <c:v>0.75688073394495414</c:v>
                </c:pt>
                <c:pt idx="19">
                  <c:v>0.79816513761467889</c:v>
                </c:pt>
                <c:pt idx="20">
                  <c:v>0.83027522935779818</c:v>
                </c:pt>
                <c:pt idx="21">
                  <c:v>0.8669724770642202</c:v>
                </c:pt>
                <c:pt idx="22">
                  <c:v>0.88990825688073394</c:v>
                </c:pt>
                <c:pt idx="23">
                  <c:v>0.91743119266055051</c:v>
                </c:pt>
                <c:pt idx="24">
                  <c:v>0.95412844036697253</c:v>
                </c:pt>
                <c:pt idx="25">
                  <c:v>0.9678899082568807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883712"/>
        <c:axId val="124881920"/>
      </c:lineChart>
      <c:catAx>
        <c:axId val="124857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-4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24880000"/>
        <c:crosses val="autoZero"/>
        <c:auto val="1"/>
        <c:lblAlgn val="ctr"/>
        <c:lblOffset val="100"/>
        <c:noMultiLvlLbl val="0"/>
      </c:catAx>
      <c:valAx>
        <c:axId val="1248800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857344"/>
        <c:crosses val="autoZero"/>
        <c:crossBetween val="between"/>
      </c:valAx>
      <c:valAx>
        <c:axId val="124881920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24883712"/>
        <c:crosses val="max"/>
        <c:crossBetween val="between"/>
      </c:valAx>
      <c:catAx>
        <c:axId val="1248837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24881920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txPr>
    <a:bodyPr/>
    <a:lstStyle/>
    <a:p>
      <a:pPr>
        <a:defRPr sz="1600"/>
      </a:pPr>
      <a:endParaRPr lang="en-US"/>
    </a:p>
  </c:txPr>
  <c:printSettings>
    <c:headerFooter/>
    <c:pageMargins l="0.70000000000000062" r="0.70000000000000062" t="0.75000000000000222" b="0.75000000000000222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Difference (Model - Observed)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095197540141507248"/>
          <c:y val="0.10275348220828544"/>
          <c:w val="0.8019700649452014"/>
          <c:h val="0.74153024304072701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 xml:space="preserve">'All_XS_Analysis (ft)'!$G$4:$G$32</c:f>
              <c:strCache>
                <c:ptCount val="29"/>
                <c:pt idx="0">
                  <c:v>-3</c:v>
                </c:pt>
                <c:pt idx="1">
                  <c:v>-2</c:v>
                </c:pt>
                <c:pt idx="2">
                  <c:v>-1.5</c:v>
                </c:pt>
                <c:pt idx="3">
                  <c:v>-1.0</c:v>
                </c:pt>
                <c:pt idx="4">
                  <c:v>-0.9</c:v>
                </c:pt>
                <c:pt idx="5">
                  <c:v>-0.8</c:v>
                </c:pt>
                <c:pt idx="6">
                  <c:v>-0.7</c:v>
                </c:pt>
                <c:pt idx="7">
                  <c:v>-0.6</c:v>
                </c:pt>
                <c:pt idx="8">
                  <c:v>-0.5</c:v>
                </c:pt>
                <c:pt idx="9">
                  <c:v>-0.4</c:v>
                </c:pt>
                <c:pt idx="10">
                  <c:v>-0.3</c:v>
                </c:pt>
                <c:pt idx="11">
                  <c:v>-0.2</c:v>
                </c:pt>
                <c:pt idx="12">
                  <c:v>-0.1</c:v>
                </c:pt>
                <c:pt idx="13">
                  <c:v>0</c:v>
                </c:pt>
                <c:pt idx="14">
                  <c:v>0.1</c:v>
                </c:pt>
                <c:pt idx="15">
                  <c:v>0.2</c:v>
                </c:pt>
                <c:pt idx="16">
                  <c:v>0.3</c:v>
                </c:pt>
                <c:pt idx="17">
                  <c:v>0.4</c:v>
                </c:pt>
                <c:pt idx="18">
                  <c:v>0.5</c:v>
                </c:pt>
                <c:pt idx="19">
                  <c:v>0.6</c:v>
                </c:pt>
                <c:pt idx="20">
                  <c:v>0.7</c:v>
                </c:pt>
                <c:pt idx="21">
                  <c:v>0.8</c:v>
                </c:pt>
                <c:pt idx="22">
                  <c:v>0.9</c:v>
                </c:pt>
                <c:pt idx="23">
                  <c:v>1</c:v>
                </c:pt>
                <c:pt idx="24">
                  <c:v>1.5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More</c:v>
                </c:pt>
              </c:strCache>
            </c:strRef>
          </c:cat>
          <c:val>
            <c:numRef>
              <c:f xml:space="preserve">'All_XS_Analysis (ft)'!$J$4:$J$32</c:f>
              <c:numCache>
                <c:formatCode>General</c:formatCode>
                <c:ptCount val="29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11</c:v>
                </c:pt>
                <c:pt idx="10">
                  <c:v>9</c:v>
                </c:pt>
                <c:pt idx="11">
                  <c:v>14</c:v>
                </c:pt>
                <c:pt idx="12">
                  <c:v>16</c:v>
                </c:pt>
                <c:pt idx="13">
                  <c:v>22</c:v>
                </c:pt>
                <c:pt idx="14">
                  <c:v>20</c:v>
                </c:pt>
                <c:pt idx="15">
                  <c:v>22</c:v>
                </c:pt>
                <c:pt idx="16">
                  <c:v>22</c:v>
                </c:pt>
                <c:pt idx="17">
                  <c:v>13</c:v>
                </c:pt>
                <c:pt idx="18">
                  <c:v>11</c:v>
                </c:pt>
                <c:pt idx="19">
                  <c:v>9</c:v>
                </c:pt>
                <c:pt idx="20">
                  <c:v>5</c:v>
                </c:pt>
                <c:pt idx="21">
                  <c:v>5</c:v>
                </c:pt>
                <c:pt idx="22">
                  <c:v>1</c:v>
                </c:pt>
                <c:pt idx="23">
                  <c:v>2</c:v>
                </c:pt>
                <c:pt idx="24">
                  <c:v>4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4909056"/>
        <c:axId val="124910976"/>
      </c:barChart>
      <c:lineChart>
        <c:grouping val="standard"/>
        <c:varyColors val="0"/>
        <c:ser>
          <c:idx val="1"/>
          <c:order val="1"/>
          <c:tx>
            <c:v xml:space="preserve">Cumulative %</c:v>
          </c:tx>
          <c:cat>
            <c:multiLvlStrRef>
              <c:f>All_XS_Analysis!#REF!</c:f>
            </c:multiLvlStrRef>
          </c:cat>
          <c:val>
            <c:numRef>
              <c:f xml:space="preserve">'All_XS_Analysis (ft)'!$K$4:$K$32</c:f>
              <c:numCache>
                <c:formatCode>0.00%</c:formatCode>
                <c:ptCount val="29"/>
                <c:pt idx="0">
                  <c:v>0</c:v>
                </c:pt>
                <c:pt idx="1">
                  <c:v>4.5871559633027525E-3</c:v>
                </c:pt>
                <c:pt idx="2">
                  <c:v>1.834862385321101E-2</c:v>
                </c:pt>
                <c:pt idx="3">
                  <c:v>4.5871559633027525E-2</c:v>
                </c:pt>
                <c:pt idx="4">
                  <c:v>6.8807339449541288E-2</c:v>
                </c:pt>
                <c:pt idx="5">
                  <c:v>8.2568807339449546E-2</c:v>
                </c:pt>
                <c:pt idx="6">
                  <c:v>9.6330275229357804E-2</c:v>
                </c:pt>
                <c:pt idx="7">
                  <c:v>0.11467889908256881</c:v>
                </c:pt>
                <c:pt idx="8">
                  <c:v>0.13761467889908258</c:v>
                </c:pt>
                <c:pt idx="9">
                  <c:v>0.18807339449541285</c:v>
                </c:pt>
                <c:pt idx="10">
                  <c:v>0.22935779816513763</c:v>
                </c:pt>
                <c:pt idx="11">
                  <c:v>0.29357798165137616</c:v>
                </c:pt>
                <c:pt idx="12">
                  <c:v>0.3669724770642202</c:v>
                </c:pt>
                <c:pt idx="13">
                  <c:v>0.46788990825688076</c:v>
                </c:pt>
                <c:pt idx="14">
                  <c:v>0.55963302752293576</c:v>
                </c:pt>
                <c:pt idx="15">
                  <c:v>0.66055045871559637</c:v>
                </c:pt>
                <c:pt idx="16">
                  <c:v>0.76146788990825687</c:v>
                </c:pt>
                <c:pt idx="17">
                  <c:v>0.82110091743119262</c:v>
                </c:pt>
                <c:pt idx="18">
                  <c:v>0.87155963302752293</c:v>
                </c:pt>
                <c:pt idx="19">
                  <c:v>0.91284403669724767</c:v>
                </c:pt>
                <c:pt idx="20">
                  <c:v>0.93577981651376152</c:v>
                </c:pt>
                <c:pt idx="21">
                  <c:v>0.95871559633027525</c:v>
                </c:pt>
                <c:pt idx="22">
                  <c:v>0.96330275229357798</c:v>
                </c:pt>
                <c:pt idx="23">
                  <c:v>0.97247706422018354</c:v>
                </c:pt>
                <c:pt idx="24">
                  <c:v>0.99082568807339455</c:v>
                </c:pt>
                <c:pt idx="25">
                  <c:v>0.99541284403669728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</c:numCache>
            </c:numRef>
          </c: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14688"/>
        <c:axId val="124913152"/>
      </c:lineChart>
      <c:catAx>
        <c:axId val="124909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124910976"/>
        <c:crosses val="autoZero"/>
        <c:auto val="1"/>
        <c:lblAlgn val="ctr"/>
        <c:lblOffset val="100"/>
        <c:noMultiLvlLbl val="0"/>
      </c:catAx>
      <c:valAx>
        <c:axId val="12491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4909056"/>
        <c:crosses val="autoZero"/>
        <c:crossBetween val="between"/>
      </c:valAx>
      <c:valAx>
        <c:axId val="12491315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24914688"/>
        <c:crosses val="max"/>
        <c:crossBetween val="between"/>
      </c:valAx>
      <c:catAx>
        <c:axId val="124914688"/>
        <c:scaling>
          <c:orientation val="minMax"/>
        </c:scaling>
        <c:delete val="1"/>
        <c:axPos val="b"/>
        <c:majorTickMark val="out"/>
        <c:minorTickMark val="none"/>
        <c:tickLblPos val="none"/>
        <c:crossAx val="124913152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txPr>
    <a:bodyPr/>
    <a:lstStyle/>
    <a:p>
      <a:pPr>
        <a:defRPr sz="1600"/>
      </a:pPr>
      <a:endParaRPr lang="en-US"/>
    </a:p>
  </c:txPr>
  <c:printSettings>
    <c:headerFooter/>
    <c:pageMargins l="0.70000000000000062" r="0.70000000000000062" t="0.75000000000000222" b="0.75000000000000222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40805883639545237"/>
                  <c:y val="-0.10492025706089095"/>
                </c:manualLayout>
              </c:layout>
              <c:numFmt formatCode="General" sourceLinked="0"/>
            </c:trendlineLbl>
          </c:trendline>
          <c:xVal>
            <c:numRef>
              <c:f>HR_n04_800cfs!$H$110:$H$134</c:f>
              <c:numCache>
                <c:formatCode>General</c:formatCode>
                <c:ptCount val="25"/>
                <c:pt idx="0">
                  <c:v>0</c:v>
                </c:pt>
                <c:pt idx="1">
                  <c:v>0.41518500000000003</c:v>
                </c:pt>
                <c:pt idx="2">
                  <c:v>1.636225</c:v>
                </c:pt>
                <c:pt idx="3">
                  <c:v>2.3045789999999999</c:v>
                </c:pt>
                <c:pt idx="4">
                  <c:v>2.5399669999999999</c:v>
                </c:pt>
                <c:pt idx="5">
                  <c:v>2.6512929999999999</c:v>
                </c:pt>
                <c:pt idx="6">
                  <c:v>2.7287439999999998</c:v>
                </c:pt>
                <c:pt idx="7">
                  <c:v>2.8088920000000002</c:v>
                </c:pt>
                <c:pt idx="8">
                  <c:v>2.8925079999999999</c:v>
                </c:pt>
                <c:pt idx="9">
                  <c:v>2.948264</c:v>
                </c:pt>
                <c:pt idx="10">
                  <c:v>3.030386</c:v>
                </c:pt>
                <c:pt idx="11">
                  <c:v>3.080041</c:v>
                </c:pt>
                <c:pt idx="12">
                  <c:v>2.9667059999999998</c:v>
                </c:pt>
                <c:pt idx="13">
                  <c:v>2.7940309999999999</c:v>
                </c:pt>
                <c:pt idx="14">
                  <c:v>2.3518919999999999</c:v>
                </c:pt>
                <c:pt idx="15">
                  <c:v>1.817566</c:v>
                </c:pt>
                <c:pt idx="16">
                  <c:v>0.91683800000000004</c:v>
                </c:pt>
                <c:pt idx="17">
                  <c:v>0.67441399999999996</c:v>
                </c:pt>
                <c:pt idx="18">
                  <c:v>0.80635100000000004</c:v>
                </c:pt>
                <c:pt idx="19">
                  <c:v>0.74181299999999994</c:v>
                </c:pt>
                <c:pt idx="20">
                  <c:v>0.66975700000000005</c:v>
                </c:pt>
                <c:pt idx="21">
                  <c:v>0.58384199999999997</c:v>
                </c:pt>
                <c:pt idx="22">
                  <c:v>0.52671000000000001</c:v>
                </c:pt>
                <c:pt idx="23">
                  <c:v>0.38318799999999997</c:v>
                </c:pt>
                <c:pt idx="24">
                  <c:v>0.14535999999999999</c:v>
                </c:pt>
              </c:numCache>
            </c:numRef>
          </c:xVal>
          <c:yVal>
            <c:numRef>
              <c:f>HR_n04_800cfs!$G$110:$G$134</c:f>
              <c:numCache>
                <c:formatCode>General</c:formatCode>
                <c:ptCount val="25"/>
                <c:pt idx="0">
                  <c:v>0.69</c:v>
                </c:pt>
                <c:pt idx="1">
                  <c:v>1.71</c:v>
                </c:pt>
                <c:pt idx="2">
                  <c:v>1.71</c:v>
                </c:pt>
                <c:pt idx="3">
                  <c:v>2.25</c:v>
                </c:pt>
                <c:pt idx="4">
                  <c:v>2.4300000000000002</c:v>
                </c:pt>
                <c:pt idx="5">
                  <c:v>2.4300000000000002</c:v>
                </c:pt>
                <c:pt idx="6">
                  <c:v>2.5299999999999998</c:v>
                </c:pt>
                <c:pt idx="7">
                  <c:v>2.82</c:v>
                </c:pt>
                <c:pt idx="8">
                  <c:v>3.01</c:v>
                </c:pt>
                <c:pt idx="9">
                  <c:v>2.56</c:v>
                </c:pt>
                <c:pt idx="10">
                  <c:v>3.12</c:v>
                </c:pt>
                <c:pt idx="11">
                  <c:v>2.99</c:v>
                </c:pt>
                <c:pt idx="12">
                  <c:v>3.18</c:v>
                </c:pt>
                <c:pt idx="13">
                  <c:v>2.56</c:v>
                </c:pt>
                <c:pt idx="14">
                  <c:v>1.27</c:v>
                </c:pt>
                <c:pt idx="15">
                  <c:v>0.56000000000000005</c:v>
                </c:pt>
                <c:pt idx="16">
                  <c:v>0.39</c:v>
                </c:pt>
                <c:pt idx="17">
                  <c:v>0.52</c:v>
                </c:pt>
                <c:pt idx="18">
                  <c:v>0.98</c:v>
                </c:pt>
                <c:pt idx="19">
                  <c:v>0.89</c:v>
                </c:pt>
                <c:pt idx="20">
                  <c:v>1.05</c:v>
                </c:pt>
                <c:pt idx="21">
                  <c:v>1.06</c:v>
                </c:pt>
                <c:pt idx="22">
                  <c:v>0.82</c:v>
                </c:pt>
                <c:pt idx="23">
                  <c:v>0.51</c:v>
                </c:pt>
                <c:pt idx="24">
                  <c:v>0.26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179776"/>
        <c:axId val="125181312"/>
      </c:scatterChart>
      <c:valAx>
        <c:axId val="125179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5181312"/>
        <c:crosses val="autoZero"/>
        <c:crossBetween val="midCat"/>
      </c:valAx>
      <c:valAx>
        <c:axId val="125181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51797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l="0.70000000000000062" r="0.70000000000000062" t="0.75000000000000244" b="0.75000000000000244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Hammond Reach, 800cfs</a:t>
            </a:r>
          </a:p>
          <a:p>
            <a:pPr>
              <a:defRPr/>
            </a:pPr>
            <a:r>
              <a:rPr lang="en-US"/>
              <a:t>Cross Section</a:t>
            </a:r>
            <a:r>
              <a:rPr lang="en-US" baseline="0"/>
              <a:t> Correlation: Model vs Observed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41782365287240802"/>
                  <c:y val="-0.14223221010505391"/>
                </c:manualLayout>
              </c:layout>
              <c:numFmt formatCode="General" sourceLinked="0"/>
            </c:trendlineLbl>
          </c:trendline>
          <c:xVal>
            <c:numRef>
              <c:f>HR_n04_800cfs!$H$20:$H$155</c:f>
              <c:numCache>
                <c:formatCode>General</c:formatCode>
                <c:ptCount val="136"/>
                <c:pt idx="0">
                  <c:v>1.2730900000000001</c:v>
                </c:pt>
                <c:pt idx="1">
                  <c:v>1.797669</c:v>
                </c:pt>
                <c:pt idx="2">
                  <c:v>2.1074760000000001</c:v>
                </c:pt>
                <c:pt idx="3">
                  <c:v>2.2452429999999999</c:v>
                </c:pt>
                <c:pt idx="4">
                  <c:v>2.309701</c:v>
                </c:pt>
                <c:pt idx="5">
                  <c:v>2.3128289999999998</c:v>
                </c:pt>
                <c:pt idx="6">
                  <c:v>2.3293469999999998</c:v>
                </c:pt>
                <c:pt idx="7">
                  <c:v>2.3448920000000002</c:v>
                </c:pt>
                <c:pt idx="8">
                  <c:v>2.3694959999999998</c:v>
                </c:pt>
                <c:pt idx="9">
                  <c:v>2.417681</c:v>
                </c:pt>
                <c:pt idx="10">
                  <c:v>2.4717630000000002</c:v>
                </c:pt>
                <c:pt idx="11">
                  <c:v>2.522589</c:v>
                </c:pt>
                <c:pt idx="12">
                  <c:v>2.6389779999999998</c:v>
                </c:pt>
                <c:pt idx="13">
                  <c:v>2.6616689999999998</c:v>
                </c:pt>
                <c:pt idx="14">
                  <c:v>2.5703930000000001</c:v>
                </c:pt>
                <c:pt idx="15">
                  <c:v>2.2857750000000001</c:v>
                </c:pt>
                <c:pt idx="16">
                  <c:v>1.9373320000000001</c:v>
                </c:pt>
                <c:pt idx="17">
                  <c:v>1.463214</c:v>
                </c:pt>
                <c:pt idx="18">
                  <c:v>0.89347100000000002</c:v>
                </c:pt>
                <c:pt idx="20">
                  <c:v>0.79141499999999998</c:v>
                </c:pt>
                <c:pt idx="21">
                  <c:v>0.96745499999999995</c:v>
                </c:pt>
                <c:pt idx="22">
                  <c:v>1.19658</c:v>
                </c:pt>
                <c:pt idx="23">
                  <c:v>1.321453</c:v>
                </c:pt>
                <c:pt idx="24">
                  <c:v>1.385759</c:v>
                </c:pt>
                <c:pt idx="25">
                  <c:v>1.334954</c:v>
                </c:pt>
                <c:pt idx="26">
                  <c:v>1.1993689999999999</c:v>
                </c:pt>
                <c:pt idx="27">
                  <c:v>1.033128</c:v>
                </c:pt>
                <c:pt idx="28">
                  <c:v>0.84806800000000004</c:v>
                </c:pt>
                <c:pt idx="30">
                  <c:v>3.5254189999999999</c:v>
                </c:pt>
                <c:pt idx="31">
                  <c:v>3.8162199999999999</c:v>
                </c:pt>
                <c:pt idx="32">
                  <c:v>4.1330730000000004</c:v>
                </c:pt>
                <c:pt idx="33">
                  <c:v>4.3266710000000002</c:v>
                </c:pt>
                <c:pt idx="35">
                  <c:v>1.9285699999999999</c:v>
                </c:pt>
                <c:pt idx="36">
                  <c:v>2.4349120000000002</c:v>
                </c:pt>
                <c:pt idx="37">
                  <c:v>2.8398919999999999</c:v>
                </c:pt>
                <c:pt idx="38">
                  <c:v>3.1696580000000001</c:v>
                </c:pt>
                <c:pt idx="39">
                  <c:v>3.3797069999999998</c:v>
                </c:pt>
                <c:pt idx="40">
                  <c:v>3.3934820000000001</c:v>
                </c:pt>
                <c:pt idx="41">
                  <c:v>3.375019</c:v>
                </c:pt>
                <c:pt idx="42">
                  <c:v>3.4114909999999998</c:v>
                </c:pt>
                <c:pt idx="43">
                  <c:v>3.341647</c:v>
                </c:pt>
                <c:pt idx="44">
                  <c:v>3.1840980000000001</c:v>
                </c:pt>
                <c:pt idx="45">
                  <c:v>2.9072049999999998</c:v>
                </c:pt>
                <c:pt idx="46">
                  <c:v>2.6957939999999998</c:v>
                </c:pt>
                <c:pt idx="47">
                  <c:v>2.3731399999999998</c:v>
                </c:pt>
                <c:pt idx="48">
                  <c:v>2.0267750000000002</c:v>
                </c:pt>
                <c:pt idx="49">
                  <c:v>1.6842159999999999</c:v>
                </c:pt>
                <c:pt idx="51">
                  <c:v>0.66914700000000005</c:v>
                </c:pt>
                <c:pt idx="52">
                  <c:v>1.0346649999999999</c:v>
                </c:pt>
                <c:pt idx="53">
                  <c:v>1.4383140000000001</c:v>
                </c:pt>
                <c:pt idx="54">
                  <c:v>1.7900499999999999</c:v>
                </c:pt>
                <c:pt idx="55">
                  <c:v>2.2791139999999999</c:v>
                </c:pt>
                <c:pt idx="56">
                  <c:v>2.9620519999999999</c:v>
                </c:pt>
                <c:pt idx="57">
                  <c:v>3.3187229999999999</c:v>
                </c:pt>
                <c:pt idx="58">
                  <c:v>3.4102359999999998</c:v>
                </c:pt>
                <c:pt idx="59">
                  <c:v>3.3575979999999999</c:v>
                </c:pt>
                <c:pt idx="60">
                  <c:v>3.44719</c:v>
                </c:pt>
                <c:pt idx="61">
                  <c:v>3.4021590000000002</c:v>
                </c:pt>
                <c:pt idx="62">
                  <c:v>2.9886439999999999</c:v>
                </c:pt>
                <c:pt idx="63">
                  <c:v>2.266918</c:v>
                </c:pt>
                <c:pt idx="64">
                  <c:v>0.83909400000000001</c:v>
                </c:pt>
                <c:pt idx="66">
                  <c:v>0.219162</c:v>
                </c:pt>
                <c:pt idx="67">
                  <c:v>0.60274799999999995</c:v>
                </c:pt>
                <c:pt idx="68">
                  <c:v>0.87568000000000001</c:v>
                </c:pt>
                <c:pt idx="69">
                  <c:v>0.99722</c:v>
                </c:pt>
                <c:pt idx="70">
                  <c:v>0.97821400000000003</c:v>
                </c:pt>
                <c:pt idx="71">
                  <c:v>1.102384</c:v>
                </c:pt>
                <c:pt idx="73">
                  <c:v>0.42523100000000003</c:v>
                </c:pt>
                <c:pt idx="74">
                  <c:v>1.0883370000000001</c:v>
                </c:pt>
                <c:pt idx="75">
                  <c:v>2.3177590000000001</c:v>
                </c:pt>
                <c:pt idx="76">
                  <c:v>2.666445</c:v>
                </c:pt>
                <c:pt idx="77">
                  <c:v>2.7766280000000001</c:v>
                </c:pt>
                <c:pt idx="78">
                  <c:v>2.6888230000000002</c:v>
                </c:pt>
                <c:pt idx="79">
                  <c:v>2.7215349999999998</c:v>
                </c:pt>
                <c:pt idx="80">
                  <c:v>3.0360149999999999</c:v>
                </c:pt>
                <c:pt idx="81">
                  <c:v>3.3542679999999998</c:v>
                </c:pt>
                <c:pt idx="82">
                  <c:v>3.3455940000000002</c:v>
                </c:pt>
                <c:pt idx="83">
                  <c:v>2.9569179999999999</c:v>
                </c:pt>
                <c:pt idx="84">
                  <c:v>2.5531329999999999</c:v>
                </c:pt>
                <c:pt idx="85">
                  <c:v>2.1503899999999998</c:v>
                </c:pt>
                <c:pt idx="86">
                  <c:v>1.738982</c:v>
                </c:pt>
                <c:pt idx="87">
                  <c:v>0.32167000000000001</c:v>
                </c:pt>
                <c:pt idx="88">
                  <c:v>0.16052900000000001</c:v>
                </c:pt>
                <c:pt idx="90">
                  <c:v>0</c:v>
                </c:pt>
                <c:pt idx="91">
                  <c:v>0.41518500000000003</c:v>
                </c:pt>
                <c:pt idx="92">
                  <c:v>1.636225</c:v>
                </c:pt>
                <c:pt idx="93">
                  <c:v>2.3045789999999999</c:v>
                </c:pt>
                <c:pt idx="94">
                  <c:v>2.5399669999999999</c:v>
                </c:pt>
                <c:pt idx="95">
                  <c:v>2.6512929999999999</c:v>
                </c:pt>
                <c:pt idx="96">
                  <c:v>2.7287439999999998</c:v>
                </c:pt>
                <c:pt idx="97">
                  <c:v>2.8088920000000002</c:v>
                </c:pt>
                <c:pt idx="98">
                  <c:v>2.8925079999999999</c:v>
                </c:pt>
                <c:pt idx="99">
                  <c:v>2.948264</c:v>
                </c:pt>
                <c:pt idx="100">
                  <c:v>3.030386</c:v>
                </c:pt>
                <c:pt idx="101">
                  <c:v>3.080041</c:v>
                </c:pt>
                <c:pt idx="102">
                  <c:v>2.9667059999999998</c:v>
                </c:pt>
                <c:pt idx="103">
                  <c:v>2.7940309999999999</c:v>
                </c:pt>
                <c:pt idx="104">
                  <c:v>2.3518919999999999</c:v>
                </c:pt>
                <c:pt idx="105">
                  <c:v>1.817566</c:v>
                </c:pt>
                <c:pt idx="106">
                  <c:v>0.91683800000000004</c:v>
                </c:pt>
                <c:pt idx="107">
                  <c:v>0.67441399999999996</c:v>
                </c:pt>
                <c:pt idx="108">
                  <c:v>0.80635100000000004</c:v>
                </c:pt>
                <c:pt idx="109">
                  <c:v>0.74181299999999994</c:v>
                </c:pt>
                <c:pt idx="110">
                  <c:v>0.66975700000000005</c:v>
                </c:pt>
                <c:pt idx="111">
                  <c:v>0.58384199999999997</c:v>
                </c:pt>
                <c:pt idx="112">
                  <c:v>0.52671000000000001</c:v>
                </c:pt>
                <c:pt idx="113">
                  <c:v>0.38318799999999997</c:v>
                </c:pt>
                <c:pt idx="114">
                  <c:v>0.14535999999999999</c:v>
                </c:pt>
                <c:pt idx="116">
                  <c:v>1.0441830000000001</c:v>
                </c:pt>
                <c:pt idx="117">
                  <c:v>1.7049179999999999</c:v>
                </c:pt>
                <c:pt idx="118">
                  <c:v>2.1061969999999999</c:v>
                </c:pt>
                <c:pt idx="119">
                  <c:v>2.3010790000000001</c:v>
                </c:pt>
                <c:pt idx="120">
                  <c:v>2.4005390000000002</c:v>
                </c:pt>
                <c:pt idx="121">
                  <c:v>2.5313699999999999</c:v>
                </c:pt>
                <c:pt idx="122">
                  <c:v>2.728332</c:v>
                </c:pt>
                <c:pt idx="123">
                  <c:v>2.8706670000000001</c:v>
                </c:pt>
                <c:pt idx="124">
                  <c:v>2.7501910000000001</c:v>
                </c:pt>
                <c:pt idx="125">
                  <c:v>2.523828</c:v>
                </c:pt>
                <c:pt idx="126">
                  <c:v>2.3107220000000002</c:v>
                </c:pt>
                <c:pt idx="127">
                  <c:v>2.233616</c:v>
                </c:pt>
                <c:pt idx="129">
                  <c:v>0.29199999999999998</c:v>
                </c:pt>
                <c:pt idx="130">
                  <c:v>0.71262599999999998</c:v>
                </c:pt>
                <c:pt idx="131">
                  <c:v>4.4756299999999998</c:v>
                </c:pt>
                <c:pt idx="132">
                  <c:v>4.9629669999999999</c:v>
                </c:pt>
                <c:pt idx="133">
                  <c:v>4.7295160000000003</c:v>
                </c:pt>
                <c:pt idx="134">
                  <c:v>4.4146159999999997</c:v>
                </c:pt>
                <c:pt idx="135">
                  <c:v>4.3146120000000003</c:v>
                </c:pt>
              </c:numCache>
            </c:numRef>
          </c:xVal>
          <c:yVal>
            <c:numRef>
              <c:f>HR_n04_800cfs!$G$20:$G$155</c:f>
              <c:numCache>
                <c:formatCode>General</c:formatCode>
                <c:ptCount val="136"/>
                <c:pt idx="0">
                  <c:v>0.72</c:v>
                </c:pt>
                <c:pt idx="1">
                  <c:v>1.25</c:v>
                </c:pt>
                <c:pt idx="2">
                  <c:v>1.35</c:v>
                </c:pt>
                <c:pt idx="3">
                  <c:v>1.71</c:v>
                </c:pt>
                <c:pt idx="4">
                  <c:v>1.8</c:v>
                </c:pt>
                <c:pt idx="5">
                  <c:v>2</c:v>
                </c:pt>
                <c:pt idx="6">
                  <c:v>1.97</c:v>
                </c:pt>
                <c:pt idx="7">
                  <c:v>2.2000000000000002</c:v>
                </c:pt>
                <c:pt idx="8">
                  <c:v>2.15</c:v>
                </c:pt>
                <c:pt idx="9">
                  <c:v>2.36</c:v>
                </c:pt>
                <c:pt idx="10">
                  <c:v>2.74</c:v>
                </c:pt>
                <c:pt idx="11">
                  <c:v>2.69</c:v>
                </c:pt>
                <c:pt idx="12">
                  <c:v>2.62</c:v>
                </c:pt>
                <c:pt idx="13">
                  <c:v>2.95</c:v>
                </c:pt>
                <c:pt idx="14">
                  <c:v>2.91</c:v>
                </c:pt>
                <c:pt idx="15">
                  <c:v>2.5299999999999998</c:v>
                </c:pt>
                <c:pt idx="16">
                  <c:v>1.98</c:v>
                </c:pt>
                <c:pt idx="17">
                  <c:v>1.1100000000000001</c:v>
                </c:pt>
                <c:pt idx="18">
                  <c:v>0.46</c:v>
                </c:pt>
                <c:pt idx="20">
                  <c:v>0.85</c:v>
                </c:pt>
                <c:pt idx="21">
                  <c:v>1.38</c:v>
                </c:pt>
                <c:pt idx="22">
                  <c:v>1.21</c:v>
                </c:pt>
                <c:pt idx="23">
                  <c:v>1.49</c:v>
                </c:pt>
                <c:pt idx="24">
                  <c:v>1.25</c:v>
                </c:pt>
                <c:pt idx="25">
                  <c:v>1.1100000000000001</c:v>
                </c:pt>
                <c:pt idx="26">
                  <c:v>0.62</c:v>
                </c:pt>
                <c:pt idx="27">
                  <c:v>0.46</c:v>
                </c:pt>
                <c:pt idx="28">
                  <c:v>0.2</c:v>
                </c:pt>
                <c:pt idx="30">
                  <c:v>0.85</c:v>
                </c:pt>
                <c:pt idx="31">
                  <c:v>1.33</c:v>
                </c:pt>
                <c:pt idx="32">
                  <c:v>2.2999999999999998</c:v>
                </c:pt>
                <c:pt idx="33">
                  <c:v>3.34</c:v>
                </c:pt>
                <c:pt idx="35">
                  <c:v>1.05</c:v>
                </c:pt>
                <c:pt idx="36">
                  <c:v>1.82</c:v>
                </c:pt>
                <c:pt idx="37">
                  <c:v>2.4</c:v>
                </c:pt>
                <c:pt idx="38">
                  <c:v>1.82</c:v>
                </c:pt>
                <c:pt idx="39">
                  <c:v>2.79</c:v>
                </c:pt>
                <c:pt idx="40">
                  <c:v>3.66</c:v>
                </c:pt>
                <c:pt idx="41">
                  <c:v>4.17</c:v>
                </c:pt>
                <c:pt idx="42">
                  <c:v>4.53</c:v>
                </c:pt>
                <c:pt idx="43">
                  <c:v>5.31</c:v>
                </c:pt>
                <c:pt idx="44">
                  <c:v>4.53</c:v>
                </c:pt>
                <c:pt idx="45">
                  <c:v>4.33</c:v>
                </c:pt>
                <c:pt idx="46">
                  <c:v>3.99</c:v>
                </c:pt>
                <c:pt idx="47">
                  <c:v>4.46</c:v>
                </c:pt>
                <c:pt idx="48">
                  <c:v>3.34</c:v>
                </c:pt>
                <c:pt idx="49">
                  <c:v>0.85</c:v>
                </c:pt>
                <c:pt idx="51">
                  <c:v>0</c:v>
                </c:pt>
                <c:pt idx="52">
                  <c:v>0.56000000000000005</c:v>
                </c:pt>
                <c:pt idx="53">
                  <c:v>1.1100000000000001</c:v>
                </c:pt>
                <c:pt idx="54">
                  <c:v>1.87</c:v>
                </c:pt>
                <c:pt idx="55">
                  <c:v>2.5299999999999998</c:v>
                </c:pt>
                <c:pt idx="56">
                  <c:v>3.12</c:v>
                </c:pt>
                <c:pt idx="57">
                  <c:v>3.12</c:v>
                </c:pt>
                <c:pt idx="58">
                  <c:v>3.64</c:v>
                </c:pt>
                <c:pt idx="59">
                  <c:v>2.58</c:v>
                </c:pt>
                <c:pt idx="60">
                  <c:v>3.77</c:v>
                </c:pt>
                <c:pt idx="61">
                  <c:v>2.42</c:v>
                </c:pt>
                <c:pt idx="62">
                  <c:v>2.23</c:v>
                </c:pt>
                <c:pt idx="63">
                  <c:v>1.71</c:v>
                </c:pt>
                <c:pt idx="64">
                  <c:v>0.98</c:v>
                </c:pt>
                <c:pt idx="66">
                  <c:v>0.82</c:v>
                </c:pt>
                <c:pt idx="67">
                  <c:v>1.76</c:v>
                </c:pt>
                <c:pt idx="68">
                  <c:v>3.12</c:v>
                </c:pt>
                <c:pt idx="69">
                  <c:v>2.79</c:v>
                </c:pt>
                <c:pt idx="70">
                  <c:v>2.69</c:v>
                </c:pt>
                <c:pt idx="71">
                  <c:v>2.42</c:v>
                </c:pt>
                <c:pt idx="73">
                  <c:v>0.92</c:v>
                </c:pt>
                <c:pt idx="74">
                  <c:v>1.08</c:v>
                </c:pt>
                <c:pt idx="75">
                  <c:v>1.55</c:v>
                </c:pt>
                <c:pt idx="76">
                  <c:v>1.67</c:v>
                </c:pt>
                <c:pt idx="77">
                  <c:v>1.55</c:v>
                </c:pt>
                <c:pt idx="78">
                  <c:v>2.56</c:v>
                </c:pt>
                <c:pt idx="79">
                  <c:v>3.12</c:v>
                </c:pt>
                <c:pt idx="80">
                  <c:v>3.31</c:v>
                </c:pt>
                <c:pt idx="81">
                  <c:v>3.88</c:v>
                </c:pt>
                <c:pt idx="82">
                  <c:v>3.58</c:v>
                </c:pt>
                <c:pt idx="83">
                  <c:v>3.56</c:v>
                </c:pt>
                <c:pt idx="84">
                  <c:v>2.76</c:v>
                </c:pt>
                <c:pt idx="85">
                  <c:v>1.44</c:v>
                </c:pt>
                <c:pt idx="86">
                  <c:v>0.39</c:v>
                </c:pt>
                <c:pt idx="87">
                  <c:v>0.18</c:v>
                </c:pt>
                <c:pt idx="88">
                  <c:v>0.1</c:v>
                </c:pt>
                <c:pt idx="90">
                  <c:v>0.69</c:v>
                </c:pt>
                <c:pt idx="91">
                  <c:v>1.71</c:v>
                </c:pt>
                <c:pt idx="92">
                  <c:v>1.71</c:v>
                </c:pt>
                <c:pt idx="93">
                  <c:v>2.25</c:v>
                </c:pt>
                <c:pt idx="94">
                  <c:v>2.4300000000000002</c:v>
                </c:pt>
                <c:pt idx="95">
                  <c:v>2.4300000000000002</c:v>
                </c:pt>
                <c:pt idx="96">
                  <c:v>2.5299999999999998</c:v>
                </c:pt>
                <c:pt idx="97">
                  <c:v>2.82</c:v>
                </c:pt>
                <c:pt idx="98">
                  <c:v>3.01</c:v>
                </c:pt>
                <c:pt idx="99">
                  <c:v>2.56</c:v>
                </c:pt>
                <c:pt idx="100">
                  <c:v>3.12</c:v>
                </c:pt>
                <c:pt idx="101">
                  <c:v>2.99</c:v>
                </c:pt>
                <c:pt idx="102">
                  <c:v>3.18</c:v>
                </c:pt>
                <c:pt idx="103">
                  <c:v>2.56</c:v>
                </c:pt>
                <c:pt idx="104">
                  <c:v>1.27</c:v>
                </c:pt>
                <c:pt idx="105">
                  <c:v>0.56000000000000005</c:v>
                </c:pt>
                <c:pt idx="106">
                  <c:v>0.39</c:v>
                </c:pt>
                <c:pt idx="107">
                  <c:v>0.52</c:v>
                </c:pt>
                <c:pt idx="108">
                  <c:v>0.98</c:v>
                </c:pt>
                <c:pt idx="109">
                  <c:v>0.89</c:v>
                </c:pt>
                <c:pt idx="110">
                  <c:v>1.05</c:v>
                </c:pt>
                <c:pt idx="111">
                  <c:v>1.06</c:v>
                </c:pt>
                <c:pt idx="112">
                  <c:v>0.82</c:v>
                </c:pt>
                <c:pt idx="113">
                  <c:v>0.51</c:v>
                </c:pt>
                <c:pt idx="114">
                  <c:v>0.26</c:v>
                </c:pt>
                <c:pt idx="116">
                  <c:v>0.82</c:v>
                </c:pt>
                <c:pt idx="117">
                  <c:v>1.76</c:v>
                </c:pt>
                <c:pt idx="118">
                  <c:v>1.94</c:v>
                </c:pt>
                <c:pt idx="119">
                  <c:v>2.09</c:v>
                </c:pt>
                <c:pt idx="120">
                  <c:v>2.17</c:v>
                </c:pt>
                <c:pt idx="121">
                  <c:v>2.4700000000000002</c:v>
                </c:pt>
                <c:pt idx="122">
                  <c:v>2.33</c:v>
                </c:pt>
                <c:pt idx="123">
                  <c:v>2.69</c:v>
                </c:pt>
                <c:pt idx="124">
                  <c:v>2.0699999999999998</c:v>
                </c:pt>
                <c:pt idx="125">
                  <c:v>1.71</c:v>
                </c:pt>
                <c:pt idx="126">
                  <c:v>2.15</c:v>
                </c:pt>
                <c:pt idx="127">
                  <c:v>0.23</c:v>
                </c:pt>
                <c:pt idx="129">
                  <c:v>1.54</c:v>
                </c:pt>
                <c:pt idx="130">
                  <c:v>3.77</c:v>
                </c:pt>
                <c:pt idx="131">
                  <c:v>4.46</c:v>
                </c:pt>
                <c:pt idx="132">
                  <c:v>4.1500000000000004</c:v>
                </c:pt>
                <c:pt idx="133">
                  <c:v>3.22</c:v>
                </c:pt>
                <c:pt idx="134">
                  <c:v>3.45</c:v>
                </c:pt>
                <c:pt idx="135">
                  <c:v>4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17792"/>
        <c:axId val="125224064"/>
      </c:scatterChart>
      <c:valAx>
        <c:axId val="125217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</a:t>
                </a:r>
                <a:r>
                  <a:rPr lang="en-US" baseline="0"/>
                  <a:t> Modeled (ft/s)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5224064"/>
        <c:crosses val="autoZero"/>
        <c:crossBetween val="midCat"/>
      </c:valAx>
      <c:valAx>
        <c:axId val="125224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 Observed (ft/s)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52177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l="0.70000000000000062" r="0.70000000000000062" t="0.75000000000000266" b="0.75000000000000266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Daguerre Reach, 539cfs</a:t>
            </a:r>
          </a:p>
          <a:p>
            <a:pPr>
              <a:defRPr/>
            </a:pPr>
            <a:r>
              <a:rPr lang="en-US"/>
              <a:t>Cross Section</a:t>
            </a:r>
            <a:r>
              <a:rPr lang="en-US" baseline="0"/>
              <a:t> Correlation: Model vs Observed</a:t>
            </a:r>
          </a:p>
        </c:rich>
      </c:tx>
      <c:layout>
        <c:manualLayout>
          <c:xMode val="edge"/>
          <c:yMode val="edge"/>
          <c:x val="0.19615855710343888"/>
          <c:y val="0.022988505747126436"/>
        </c:manualLayout>
      </c:layout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5838412933426057"/>
                  <c:y val="0.12067227803421177"/>
                </c:manualLayout>
              </c:layout>
              <c:numFmt formatCode="General" sourceLinked="0"/>
            </c:trendlineLbl>
          </c:trendline>
          <c:xVal>
            <c:numRef>
              <c:f>DGR_n04_539cfs!$H$16:$H$112</c:f>
              <c:numCache>
                <c:formatCode>General</c:formatCode>
                <c:ptCount val="97"/>
                <c:pt idx="0">
                  <c:v>2.6615030000000002</c:v>
                </c:pt>
                <c:pt idx="1">
                  <c:v>4.856738</c:v>
                </c:pt>
                <c:pt idx="2">
                  <c:v>5.7931929999999996</c:v>
                </c:pt>
                <c:pt idx="3">
                  <c:v>6.309971</c:v>
                </c:pt>
                <c:pt idx="4">
                  <c:v>6.4902100000000003</c:v>
                </c:pt>
                <c:pt idx="5">
                  <c:v>5.7343159999999997</c:v>
                </c:pt>
                <c:pt idx="6">
                  <c:v>3.583205</c:v>
                </c:pt>
                <c:pt idx="7">
                  <c:v>2.2105519999999999</c:v>
                </c:pt>
                <c:pt idx="8">
                  <c:v>2.3812609999999999</c:v>
                </c:pt>
                <c:pt idx="9">
                  <c:v>2.306254</c:v>
                </c:pt>
                <c:pt idx="10">
                  <c:v>1.8878140000000001</c:v>
                </c:pt>
                <c:pt idx="11">
                  <c:v>1.6053550000000001</c:v>
                </c:pt>
                <c:pt idx="12">
                  <c:v>1.250189</c:v>
                </c:pt>
                <c:pt idx="14">
                  <c:v>0.27717199999999997</c:v>
                </c:pt>
                <c:pt idx="15">
                  <c:v>0.63175599999999998</c:v>
                </c:pt>
                <c:pt idx="16">
                  <c:v>0.85203700000000004</c:v>
                </c:pt>
                <c:pt idx="17">
                  <c:v>1.0036039999999999</c:v>
                </c:pt>
                <c:pt idx="18">
                  <c:v>1.1063590000000001</c:v>
                </c:pt>
                <c:pt idx="19">
                  <c:v>1.142069</c:v>
                </c:pt>
                <c:pt idx="20">
                  <c:v>1.169815</c:v>
                </c:pt>
                <c:pt idx="21">
                  <c:v>1.206383</c:v>
                </c:pt>
                <c:pt idx="22">
                  <c:v>1.228458</c:v>
                </c:pt>
                <c:pt idx="23">
                  <c:v>1.293272</c:v>
                </c:pt>
                <c:pt idx="24">
                  <c:v>1.331753</c:v>
                </c:pt>
                <c:pt idx="25">
                  <c:v>1.3514109999999999</c:v>
                </c:pt>
                <c:pt idx="26">
                  <c:v>1.3792230000000001</c:v>
                </c:pt>
                <c:pt idx="27">
                  <c:v>1.362142</c:v>
                </c:pt>
                <c:pt idx="28">
                  <c:v>1.285577</c:v>
                </c:pt>
                <c:pt idx="29">
                  <c:v>0.84551399999999999</c:v>
                </c:pt>
                <c:pt idx="31">
                  <c:v>2.0901049999999999</c:v>
                </c:pt>
                <c:pt idx="32">
                  <c:v>2.3459379999999999</c:v>
                </c:pt>
                <c:pt idx="33">
                  <c:v>2.6046710000000002</c:v>
                </c:pt>
                <c:pt idx="34">
                  <c:v>3.3948420000000001</c:v>
                </c:pt>
                <c:pt idx="35">
                  <c:v>3.7124030000000001</c:v>
                </c:pt>
                <c:pt idx="36">
                  <c:v>3.9298769999999998</c:v>
                </c:pt>
                <c:pt idx="37">
                  <c:v>4.1171360000000004</c:v>
                </c:pt>
                <c:pt idx="38">
                  <c:v>4.2240929999999999</c:v>
                </c:pt>
                <c:pt idx="39">
                  <c:v>3.5559059999999998</c:v>
                </c:pt>
                <c:pt idx="40">
                  <c:v>2.1899540000000002</c:v>
                </c:pt>
                <c:pt idx="41">
                  <c:v>0.67654899999999996</c:v>
                </c:pt>
                <c:pt idx="43">
                  <c:v>0.24719099999999999</c:v>
                </c:pt>
                <c:pt idx="44">
                  <c:v>0.27320899999999998</c:v>
                </c:pt>
                <c:pt idx="45">
                  <c:v>1.85887</c:v>
                </c:pt>
                <c:pt idx="46">
                  <c:v>3.3464149999999999</c:v>
                </c:pt>
                <c:pt idx="47">
                  <c:v>3.6771189999999998</c:v>
                </c:pt>
                <c:pt idx="48">
                  <c:v>3.6685400000000001</c:v>
                </c:pt>
                <c:pt idx="49">
                  <c:v>3.6834859999999998</c:v>
                </c:pt>
                <c:pt idx="50">
                  <c:v>3.1786699999999999</c:v>
                </c:pt>
                <c:pt idx="51">
                  <c:v>2.18059</c:v>
                </c:pt>
                <c:pt idx="52">
                  <c:v>0.64166599999999996</c:v>
                </c:pt>
                <c:pt idx="53">
                  <c:v>0.36463299999999998</c:v>
                </c:pt>
                <c:pt idx="55">
                  <c:v>0.81947700000000001</c:v>
                </c:pt>
                <c:pt idx="56">
                  <c:v>1.480802</c:v>
                </c:pt>
                <c:pt idx="57">
                  <c:v>1.549715</c:v>
                </c:pt>
                <c:pt idx="58">
                  <c:v>1.6317360000000001</c:v>
                </c:pt>
                <c:pt idx="59">
                  <c:v>1.7632140000000001</c:v>
                </c:pt>
                <c:pt idx="60">
                  <c:v>1.903168</c:v>
                </c:pt>
                <c:pt idx="61">
                  <c:v>2.0203319999999998</c:v>
                </c:pt>
                <c:pt idx="62">
                  <c:v>2.124657</c:v>
                </c:pt>
                <c:pt idx="63">
                  <c:v>2.0877059999999998</c:v>
                </c:pt>
                <c:pt idx="64">
                  <c:v>1.9311860000000001</c:v>
                </c:pt>
                <c:pt idx="65">
                  <c:v>1.81101</c:v>
                </c:pt>
                <c:pt idx="66">
                  <c:v>1.7330719999999999</c:v>
                </c:pt>
                <c:pt idx="67">
                  <c:v>1.6887430000000001</c:v>
                </c:pt>
                <c:pt idx="68">
                  <c:v>1.6887669999999999</c:v>
                </c:pt>
                <c:pt idx="69">
                  <c:v>1.591674</c:v>
                </c:pt>
                <c:pt idx="70">
                  <c:v>1.534359</c:v>
                </c:pt>
                <c:pt idx="71">
                  <c:v>1.5028919999999999</c:v>
                </c:pt>
                <c:pt idx="72">
                  <c:v>1.4580519999999999</c:v>
                </c:pt>
                <c:pt idx="73">
                  <c:v>1.2982229999999999</c:v>
                </c:pt>
                <c:pt idx="74">
                  <c:v>1.0854299999999999</c:v>
                </c:pt>
                <c:pt idx="75">
                  <c:v>0.70156499999999999</c:v>
                </c:pt>
                <c:pt idx="77">
                  <c:v>0.30385200000000001</c:v>
                </c:pt>
                <c:pt idx="78">
                  <c:v>0.74654299999999996</c:v>
                </c:pt>
                <c:pt idx="79">
                  <c:v>0.88662099999999999</c:v>
                </c:pt>
                <c:pt idx="80">
                  <c:v>0.99212400000000001</c:v>
                </c:pt>
                <c:pt idx="81">
                  <c:v>1.1172200000000001</c:v>
                </c:pt>
                <c:pt idx="82">
                  <c:v>1.249171</c:v>
                </c:pt>
                <c:pt idx="83">
                  <c:v>1.2962469999999999</c:v>
                </c:pt>
                <c:pt idx="84">
                  <c:v>1.3331459999999999</c:v>
                </c:pt>
                <c:pt idx="85">
                  <c:v>1.358725</c:v>
                </c:pt>
                <c:pt idx="87">
                  <c:v>1.587186</c:v>
                </c:pt>
                <c:pt idx="88">
                  <c:v>2.6581510000000002</c:v>
                </c:pt>
                <c:pt idx="89">
                  <c:v>3.219328</c:v>
                </c:pt>
                <c:pt idx="90">
                  <c:v>3.6373920000000002</c:v>
                </c:pt>
                <c:pt idx="91">
                  <c:v>3.790829</c:v>
                </c:pt>
                <c:pt idx="92">
                  <c:v>3.8580999999999999</c:v>
                </c:pt>
                <c:pt idx="93">
                  <c:v>3.6134810000000002</c:v>
                </c:pt>
                <c:pt idx="94">
                  <c:v>3.1150289999999998</c:v>
                </c:pt>
                <c:pt idx="95">
                  <c:v>2.629057</c:v>
                </c:pt>
                <c:pt idx="96">
                  <c:v>2.0405799999999998</c:v>
                </c:pt>
              </c:numCache>
            </c:numRef>
          </c:xVal>
          <c:yVal>
            <c:numRef>
              <c:f>DGR_n04_539cfs!$G$16:$G$112</c:f>
              <c:numCache>
                <c:formatCode>General</c:formatCode>
                <c:ptCount val="97"/>
                <c:pt idx="0">
                  <c:v>0.75</c:v>
                </c:pt>
                <c:pt idx="1">
                  <c:v>3.88</c:v>
                </c:pt>
                <c:pt idx="2">
                  <c:v>4.49</c:v>
                </c:pt>
                <c:pt idx="3">
                  <c:v>4.04</c:v>
                </c:pt>
                <c:pt idx="4">
                  <c:v>4.4800000000000004</c:v>
                </c:pt>
                <c:pt idx="5">
                  <c:v>3.51</c:v>
                </c:pt>
                <c:pt idx="6">
                  <c:v>0.89</c:v>
                </c:pt>
                <c:pt idx="7">
                  <c:v>3.83</c:v>
                </c:pt>
                <c:pt idx="8">
                  <c:v>3.41</c:v>
                </c:pt>
                <c:pt idx="9">
                  <c:v>1.22</c:v>
                </c:pt>
                <c:pt idx="10">
                  <c:v>3.74</c:v>
                </c:pt>
                <c:pt idx="11">
                  <c:v>0.84</c:v>
                </c:pt>
                <c:pt idx="12">
                  <c:v>0.39</c:v>
                </c:pt>
                <c:pt idx="14">
                  <c:v>0.62</c:v>
                </c:pt>
                <c:pt idx="15">
                  <c:v>1.08</c:v>
                </c:pt>
                <c:pt idx="16">
                  <c:v>0.89</c:v>
                </c:pt>
                <c:pt idx="17">
                  <c:v>1.1499999999999999</c:v>
                </c:pt>
                <c:pt idx="18">
                  <c:v>1.06</c:v>
                </c:pt>
                <c:pt idx="19">
                  <c:v>1.28</c:v>
                </c:pt>
                <c:pt idx="20">
                  <c:v>1.1599999999999999</c:v>
                </c:pt>
                <c:pt idx="21">
                  <c:v>1.25</c:v>
                </c:pt>
                <c:pt idx="22">
                  <c:v>1.1100000000000001</c:v>
                </c:pt>
                <c:pt idx="23">
                  <c:v>1.31</c:v>
                </c:pt>
                <c:pt idx="24">
                  <c:v>1.44</c:v>
                </c:pt>
                <c:pt idx="25">
                  <c:v>1.38</c:v>
                </c:pt>
                <c:pt idx="26">
                  <c:v>1.44</c:v>
                </c:pt>
                <c:pt idx="27">
                  <c:v>1.28</c:v>
                </c:pt>
                <c:pt idx="28">
                  <c:v>1.1100000000000001</c:v>
                </c:pt>
                <c:pt idx="29">
                  <c:v>0.85</c:v>
                </c:pt>
                <c:pt idx="31">
                  <c:v>0.89</c:v>
                </c:pt>
                <c:pt idx="32">
                  <c:v>1.66</c:v>
                </c:pt>
                <c:pt idx="33">
                  <c:v>2.46</c:v>
                </c:pt>
                <c:pt idx="34">
                  <c:v>2.63</c:v>
                </c:pt>
                <c:pt idx="35">
                  <c:v>4.5599999999999996</c:v>
                </c:pt>
                <c:pt idx="36">
                  <c:v>4.66</c:v>
                </c:pt>
                <c:pt idx="37">
                  <c:v>5.29</c:v>
                </c:pt>
                <c:pt idx="38">
                  <c:v>4.46</c:v>
                </c:pt>
                <c:pt idx="39">
                  <c:v>3.72</c:v>
                </c:pt>
                <c:pt idx="40">
                  <c:v>3.39</c:v>
                </c:pt>
                <c:pt idx="41">
                  <c:v>0.98</c:v>
                </c:pt>
                <c:pt idx="43">
                  <c:v>0.72</c:v>
                </c:pt>
                <c:pt idx="44">
                  <c:v>2.31</c:v>
                </c:pt>
                <c:pt idx="45">
                  <c:v>2.66</c:v>
                </c:pt>
                <c:pt idx="46">
                  <c:v>3.01</c:v>
                </c:pt>
                <c:pt idx="47">
                  <c:v>2.69</c:v>
                </c:pt>
                <c:pt idx="48">
                  <c:v>3.29</c:v>
                </c:pt>
                <c:pt idx="49">
                  <c:v>3.58</c:v>
                </c:pt>
                <c:pt idx="50">
                  <c:v>2.69</c:v>
                </c:pt>
                <c:pt idx="51">
                  <c:v>2.59</c:v>
                </c:pt>
                <c:pt idx="52">
                  <c:v>0.89</c:v>
                </c:pt>
                <c:pt idx="53">
                  <c:v>0.33</c:v>
                </c:pt>
                <c:pt idx="55">
                  <c:v>1.1499999999999999</c:v>
                </c:pt>
                <c:pt idx="56">
                  <c:v>1.06</c:v>
                </c:pt>
                <c:pt idx="57">
                  <c:v>1.54</c:v>
                </c:pt>
                <c:pt idx="58">
                  <c:v>1.38</c:v>
                </c:pt>
                <c:pt idx="59">
                  <c:v>1.38</c:v>
                </c:pt>
                <c:pt idx="60">
                  <c:v>1.77</c:v>
                </c:pt>
                <c:pt idx="61">
                  <c:v>2.4700000000000002</c:v>
                </c:pt>
                <c:pt idx="62">
                  <c:v>2.4900000000000002</c:v>
                </c:pt>
                <c:pt idx="63">
                  <c:v>2.31</c:v>
                </c:pt>
                <c:pt idx="64">
                  <c:v>2.5299999999999998</c:v>
                </c:pt>
                <c:pt idx="65">
                  <c:v>1.93</c:v>
                </c:pt>
                <c:pt idx="66">
                  <c:v>2.1</c:v>
                </c:pt>
                <c:pt idx="67">
                  <c:v>1.87</c:v>
                </c:pt>
                <c:pt idx="68">
                  <c:v>1.97</c:v>
                </c:pt>
                <c:pt idx="69">
                  <c:v>1.93</c:v>
                </c:pt>
                <c:pt idx="70">
                  <c:v>1.9</c:v>
                </c:pt>
                <c:pt idx="71">
                  <c:v>1.87</c:v>
                </c:pt>
                <c:pt idx="72">
                  <c:v>1.67</c:v>
                </c:pt>
                <c:pt idx="73">
                  <c:v>1.71</c:v>
                </c:pt>
                <c:pt idx="74">
                  <c:v>1.22</c:v>
                </c:pt>
                <c:pt idx="75">
                  <c:v>0.59</c:v>
                </c:pt>
                <c:pt idx="77">
                  <c:v>0.46</c:v>
                </c:pt>
                <c:pt idx="78">
                  <c:v>0.73</c:v>
                </c:pt>
                <c:pt idx="79">
                  <c:v>0.82</c:v>
                </c:pt>
                <c:pt idx="80">
                  <c:v>0.78</c:v>
                </c:pt>
                <c:pt idx="81">
                  <c:v>1.1200000000000001</c:v>
                </c:pt>
                <c:pt idx="82">
                  <c:v>1.1599999999999999</c:v>
                </c:pt>
                <c:pt idx="83">
                  <c:v>1.38</c:v>
                </c:pt>
                <c:pt idx="84">
                  <c:v>1.27</c:v>
                </c:pt>
                <c:pt idx="85">
                  <c:v>1.41</c:v>
                </c:pt>
                <c:pt idx="87">
                  <c:v>0.98</c:v>
                </c:pt>
                <c:pt idx="88">
                  <c:v>2.31</c:v>
                </c:pt>
                <c:pt idx="89">
                  <c:v>3.67</c:v>
                </c:pt>
                <c:pt idx="90">
                  <c:v>2.85</c:v>
                </c:pt>
                <c:pt idx="91">
                  <c:v>4.95</c:v>
                </c:pt>
                <c:pt idx="92">
                  <c:v>4.37</c:v>
                </c:pt>
                <c:pt idx="93">
                  <c:v>4.92</c:v>
                </c:pt>
                <c:pt idx="94">
                  <c:v>4.0999999999999996</c:v>
                </c:pt>
                <c:pt idx="95">
                  <c:v>3.56</c:v>
                </c:pt>
                <c:pt idx="96">
                  <c:v>1.38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69888"/>
        <c:axId val="125292544"/>
      </c:scatterChart>
      <c:valAx>
        <c:axId val="1252698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</a:t>
                </a:r>
                <a:r>
                  <a:rPr lang="en-US" baseline="0"/>
                  <a:t> Modeled (ft/s)</a:t>
                </a: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5292544"/>
        <c:crosses val="autoZero"/>
        <c:crossBetween val="midCat"/>
      </c:valAx>
      <c:valAx>
        <c:axId val="1252925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 Observed (ft/s)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252698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l="0.70000000000000062" r="0.70000000000000062" t="0.75000000000000289" b="0.75000000000000289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'Verr&gt;50%'!$AH$16:$AH$26</c:f>
              <c:strCache>
                <c:ptCount val="11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More</c:v>
                </c:pt>
              </c:strCache>
            </c:strRef>
          </c:cat>
          <c:val>
            <c:numRef>
              <c:f>'Verr&gt;50%'!$AJ$16:$AJ$26</c:f>
              <c:numCache>
                <c:formatCode>0%</c:formatCode>
                <c:ptCount val="11"/>
                <c:pt idx="0">
                  <c:v>0.2</c:v>
                </c:pt>
                <c:pt idx="1">
                  <c:v>0.4</c:v>
                </c:pt>
                <c:pt idx="2">
                  <c:v>0.16</c:v>
                </c:pt>
                <c:pt idx="3">
                  <c:v>0.12</c:v>
                </c:pt>
                <c:pt idx="4">
                  <c:v>0.08</c:v>
                </c:pt>
                <c:pt idx="5">
                  <c:v>0</c:v>
                </c:pt>
                <c:pt idx="6">
                  <c:v>0.04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46912"/>
        <c:axId val="130248704"/>
      </c:barChart>
      <c:lineChart>
        <c:grouping val="standard"/>
        <c:varyColors val="0"/>
        <c:ser>
          <c:idx val="1"/>
          <c:order val="1"/>
          <c:tx>
            <c:v xml:space="preserve">Cumulative %</c:v>
          </c:tx>
          <c:cat>
            <c:strRef>
              <c:f>'Verr&gt;50%'!$AH$16:$AH$26</c:f>
              <c:strCache>
                <c:ptCount val="11"/>
                <c:pt idx="0">
                  <c:v>0.2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1</c:v>
                </c:pt>
                <c:pt idx="5">
                  <c:v>1.2</c:v>
                </c:pt>
                <c:pt idx="6">
                  <c:v>1.4</c:v>
                </c:pt>
                <c:pt idx="7">
                  <c:v>1.6</c:v>
                </c:pt>
                <c:pt idx="8">
                  <c:v>1.8</c:v>
                </c:pt>
                <c:pt idx="9">
                  <c:v>2</c:v>
                </c:pt>
                <c:pt idx="10">
                  <c:v>More</c:v>
                </c:pt>
              </c:strCache>
            </c:strRef>
          </c:cat>
          <c:val>
            <c:numRef>
              <c:f>'Verr&gt;50%'!$AK$16:$AK$26</c:f>
              <c:numCache>
                <c:formatCode>0.00%</c:formatCode>
                <c:ptCount val="11"/>
                <c:pt idx="0">
                  <c:v>0.2</c:v>
                </c:pt>
                <c:pt idx="1">
                  <c:v>0.6</c:v>
                </c:pt>
                <c:pt idx="2">
                  <c:v>0.76</c:v>
                </c:pt>
                <c:pt idx="3">
                  <c:v>0.88</c:v>
                </c:pt>
                <c:pt idx="4">
                  <c:v>0.96</c:v>
                </c:pt>
                <c:pt idx="5">
                  <c:v>0.96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637824"/>
        <c:axId val="130631936"/>
      </c:lineChart>
      <c:catAx>
        <c:axId val="130246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crossAx val="130248704"/>
        <c:crosses val="autoZero"/>
        <c:auto val="1"/>
        <c:lblAlgn val="ctr"/>
        <c:lblOffset val="100"/>
        <c:noMultiLvlLbl val="0"/>
      </c:catAx>
      <c:valAx>
        <c:axId val="1302487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0%" sourceLinked="1"/>
        <c:majorTickMark val="out"/>
        <c:minorTickMark val="none"/>
        <c:tickLblPos val="nextTo"/>
        <c:crossAx val="130246912"/>
        <c:crosses val="autoZero"/>
        <c:crossBetween val="between"/>
      </c:valAx>
      <c:valAx>
        <c:axId val="13063193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30637824"/>
        <c:crosses val="max"/>
        <c:crossBetween val="between"/>
      </c:valAx>
      <c:catAx>
        <c:axId val="130637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30631936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4="http://schemas.microsoft.com/office/drawing/2007/8/2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'Verr&gt;50%'!$AE$2:$AE$26</c:f>
              <c:numCache>
                <c:formatCode>0.00</c:formatCode>
                <c:ptCount val="25"/>
                <c:pt idx="0">
                  <c:v>215.36869565217393</c:v>
                </c:pt>
                <c:pt idx="1">
                  <c:v>157.19092904169713</c:v>
                </c:pt>
                <c:pt idx="2">
                  <c:v>151.22015268321044</c:v>
                </c:pt>
                <c:pt idx="3">
                  <c:v>144.02061538461535</c:v>
                </c:pt>
                <c:pt idx="4">
                  <c:v>142.99198613390271</c:v>
                </c:pt>
                <c:pt idx="5">
                  <c:v>122.16975903881537</c:v>
                </c:pt>
                <c:pt idx="6">
                  <c:v>108.06261222318281</c:v>
                </c:pt>
                <c:pt idx="7">
                  <c:v>94.178774731142127</c:v>
                </c:pt>
                <c:pt idx="8">
                  <c:v>79.960874999999987</c:v>
                </c:pt>
                <c:pt idx="9">
                  <c:v>78.094865997206881</c:v>
                </c:pt>
                <c:pt idx="10">
                  <c:v>74.252058597340252</c:v>
                </c:pt>
                <c:pt idx="11">
                  <c:v>71.937272727272727</c:v>
                </c:pt>
                <c:pt idx="12">
                  <c:v>66.588355560557432</c:v>
                </c:pt>
                <c:pt idx="13">
                  <c:v>65.10288235294118</c:v>
                </c:pt>
                <c:pt idx="14">
                  <c:v>63.133869787856632</c:v>
                </c:pt>
                <c:pt idx="15">
                  <c:v>62.104333333333329</c:v>
                </c:pt>
                <c:pt idx="16">
                  <c:v>59.59517647058825</c:v>
                </c:pt>
                <c:pt idx="17">
                  <c:v>56.287500000000001</c:v>
                </c:pt>
                <c:pt idx="18">
                  <c:v>54.682754760479696</c:v>
                </c:pt>
                <c:pt idx="19">
                  <c:v>54.659607833245047</c:v>
                </c:pt>
                <c:pt idx="20">
                  <c:v>54.237240447920783</c:v>
                </c:pt>
                <c:pt idx="21">
                  <c:v>52.362285714285711</c:v>
                </c:pt>
                <c:pt idx="22">
                  <c:v>51.377624999999981</c:v>
                </c:pt>
                <c:pt idx="23">
                  <c:v>51.373823529411766</c:v>
                </c:pt>
                <c:pt idx="24">
                  <c:v>50.874499999999998</c:v>
                </c:pt>
              </c:numCache>
            </c:numRef>
          </c:xVal>
          <c:yVal>
            <c:numRef>
              <c:f>'Verr&gt;50%'!$M$2:$M$26</c:f>
              <c:numCache>
                <c:formatCode>0.000</c:formatCode>
                <c:ptCount val="25"/>
                <c:pt idx="0">
                  <c:v>0.73761600000000005</c:v>
                </c:pt>
                <c:pt idx="1">
                  <c:v>6.0960000000000007E-2</c:v>
                </c:pt>
                <c:pt idx="2">
                  <c:v>0.17068800000000003</c:v>
                </c:pt>
                <c:pt idx="3">
                  <c:v>0.140208</c:v>
                </c:pt>
                <c:pt idx="4">
                  <c:v>0.81991199999999997</c:v>
                </c:pt>
                <c:pt idx="5">
                  <c:v>0.27127200000000001</c:v>
                </c:pt>
                <c:pt idx="6">
                  <c:v>0.85039200000000004</c:v>
                </c:pt>
                <c:pt idx="7">
                  <c:v>0.18897600000000001</c:v>
                </c:pt>
                <c:pt idx="8">
                  <c:v>0.33832800000000007</c:v>
                </c:pt>
                <c:pt idx="9">
                  <c:v>0.420624</c:v>
                </c:pt>
                <c:pt idx="10">
                  <c:v>0.29870400000000003</c:v>
                </c:pt>
                <c:pt idx="11">
                  <c:v>0.33832800000000007</c:v>
                </c:pt>
                <c:pt idx="12">
                  <c:v>0.32004000000000005</c:v>
                </c:pt>
                <c:pt idx="13">
                  <c:v>0.27127200000000001</c:v>
                </c:pt>
                <c:pt idx="14">
                  <c:v>0.18897600000000001</c:v>
                </c:pt>
                <c:pt idx="15">
                  <c:v>1.231392</c:v>
                </c:pt>
                <c:pt idx="16">
                  <c:v>0.33832800000000007</c:v>
                </c:pt>
                <c:pt idx="17">
                  <c:v>0.25603199999999998</c:v>
                </c:pt>
                <c:pt idx="18">
                  <c:v>0.39014400000000005</c:v>
                </c:pt>
                <c:pt idx="19">
                  <c:v>0.32918400000000003</c:v>
                </c:pt>
                <c:pt idx="20">
                  <c:v>0.521208</c:v>
                </c:pt>
                <c:pt idx="21">
                  <c:v>0.55473600000000001</c:v>
                </c:pt>
                <c:pt idx="22">
                  <c:v>0.70408800000000005</c:v>
                </c:pt>
                <c:pt idx="23">
                  <c:v>0.53644800000000004</c:v>
                </c:pt>
                <c:pt idx="24">
                  <c:v>0.68580000000000008</c:v>
                </c:pt>
              </c:numCache>
            </c:numRef>
          </c:yVal>
          <c:smooth val="0"/>
          <c:extLst>
            <c:ext uri="{C3380CC4-5D6E-409C-BE32-E72D297353CC}"/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722304"/>
        <c:axId val="143468800"/>
      </c:scatterChart>
      <c:valAx>
        <c:axId val="90722304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crossAx val="143468800"/>
        <c:crosses val="autoZero"/>
        <c:crossBetween val="midCat"/>
      </c:valAx>
      <c:valAx>
        <c:axId val="14346880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907223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l="0.69999999999999996" r="0.69999999999999996" t="0.75" b="0.75" header="0.29999999999999999" footer="0.29999999999999999"/>
    <c:pageSetup/>
  </c:printSettings>
</c:chartSpace>
</file>

<file path=xl/drawings/_rels/.rels><?xml version="1.0" encoding="UTF-8" standalone="yes"?><Relationships xmlns="http://schemas.openxmlformats.org/package/2006/relationships"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2.xml" /><Relationship Id="rId2" Type="http://schemas.openxmlformats.org/officeDocument/2006/relationships/chart" Target="../charts/chart3.xml" /><Relationship Id="rId3" Type="http://schemas.openxmlformats.org/officeDocument/2006/relationships/chart" Target="../charts/chart4.xml" /><Relationship Id="rId4" Type="http://schemas.openxmlformats.org/officeDocument/2006/relationships/chart" Target="../charts/chart5.xml" /><Relationship Id="rId5" Type="http://schemas.openxmlformats.org/officeDocument/2006/relationships/chart" Target="../charts/chart6.xml" /><Relationship Id="rId6" Type="http://schemas.openxmlformats.org/officeDocument/2006/relationships/chart" Target="../charts/chart7.xml" /><Relationship Id="rId7" Type="http://schemas.openxmlformats.org/officeDocument/2006/relationships/chart" Target="../charts/chart8.xml" /><Relationship Id="rId8" Type="http://schemas.openxmlformats.org/officeDocument/2006/relationships/chart" Target="../charts/chart9.xml" /><Relationship Id="rId9" Type="http://schemas.openxmlformats.org/officeDocument/2006/relationships/chart" Target="../charts/chart10.xml" /><Relationship Id="rId10" Type="http://schemas.openxmlformats.org/officeDocument/2006/relationships/chart" Target="../charts/chart11.xml" /><Relationship Id="rId11" Type="http://schemas.openxmlformats.org/officeDocument/2006/relationships/chart" Target="../charts/chart12.xml" /><Relationship Id="rId12" Type="http://schemas.openxmlformats.org/officeDocument/2006/relationships/chart" Target="../charts/chart13.xml" /><Relationship Id="rId13" Type="http://schemas.openxmlformats.org/officeDocument/2006/relationships/chart" Target="../charts/chart14.xml" /><Relationship Id="rId14" Type="http://schemas.openxmlformats.org/officeDocument/2006/relationships/chart" Target="../charts/chart15.xml" /><Relationship Id="rId15" Type="http://schemas.openxmlformats.org/officeDocument/2006/relationships/chart" Target="../charts/chart16.xml" /><Relationship Id="rId16" Type="http://schemas.openxmlformats.org/officeDocument/2006/relationships/chart" Target="../charts/chart17.xml" /><Relationship Id="rId17" Type="http://schemas.openxmlformats.org/officeDocument/2006/relationships/chart" Target="../charts/chart18.xml" /><Relationship Id="rId18" Type="http://schemas.openxmlformats.org/officeDocument/2006/relationships/chart" Target="../charts/chart19.xml" /><Relationship Id="rId19" Type="http://schemas.openxmlformats.org/officeDocument/2006/relationships/chart" Target="../charts/chart20.xml" /><Relationship Id="rId20" Type="http://schemas.openxmlformats.org/officeDocument/2006/relationships/chart" Target="../charts/chart21.xml" /><Relationship Id="rId21" Type="http://schemas.openxmlformats.org/officeDocument/2006/relationships/chart" Target="../charts/chart22.xml" /><Relationship Id="rId22" Type="http://schemas.openxmlformats.org/officeDocument/2006/relationships/chart" Target="../charts/chart23.xml" /><Relationship Id="rId23" Type="http://schemas.openxmlformats.org/officeDocument/2006/relationships/chart" Target="../charts/chart24.xml" /><Relationship Id="rId24" Type="http://schemas.openxmlformats.org/officeDocument/2006/relationships/chart" Target="../charts/chart25.xml" /><Relationship Id="rId25" Type="http://schemas.openxmlformats.org/officeDocument/2006/relationships/chart" Target="../charts/chart26.xml" /><Relationship Id="rId26" Type="http://schemas.openxmlformats.org/officeDocument/2006/relationships/chart" Target="../charts/chart27.xml" /><Relationship Id="rId27" Type="http://schemas.openxmlformats.org/officeDocument/2006/relationships/chart" Target="../charts/chart28.xml" /><Relationship Id="rId28" Type="http://schemas.openxmlformats.org/officeDocument/2006/relationships/chart" Target="../charts/chart29.xml" /><Relationship Id="rId29" Type="http://schemas.openxmlformats.org/officeDocument/2006/relationships/chart" Target="../charts/chart30.xml" /><Relationship Id="rId30" Type="http://schemas.openxmlformats.org/officeDocument/2006/relationships/chart" Target="../charts/chart31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32.xml" /><Relationship Id="rId2" Type="http://schemas.openxmlformats.org/officeDocument/2006/relationships/chart" Target="../charts/chart33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34.xml" /><Relationship Id="rId2" Type="http://schemas.openxmlformats.org/officeDocument/2006/relationships/chart" Target="../charts/chart35.xml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../charts/chart36.xml" /><Relationship Id="rId2" Type="http://schemas.openxmlformats.org/officeDocument/2006/relationships/chart" Target="../charts/chart37.xml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../charts/chart38.xml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chart" Target="../charts/chart39.xml" /><Relationship Id="rId2" Type="http://schemas.openxmlformats.org/officeDocument/2006/relationships/chart" Target="../charts/chart40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>
    <xdr:from>
      <xdr:col>31</xdr:col>
      <xdr:colOff>514350</xdr:colOff>
      <xdr:row>23</xdr:row>
      <xdr:rowOff>38100</xdr:rowOff>
    </xdr:from>
    <xdr:to>
      <xdr:col>38</xdr:col>
      <xdr:colOff>247649</xdr:colOff>
      <xdr:row>37</xdr:row>
      <xdr:rowOff>114300</xdr:rowOff>
    </xdr:to>
    <xdr:graphicFrame macro=""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 xmlns:cdr="http://schemas.openxmlformats.org/drawingml/2006/chartDrawing" xmlns:a="http://schemas.openxmlformats.org/drawingml/2006/main" xmlns:r="http://schemas.openxmlformats.org/officeDocument/2006/relationships">
  <cdr:relSizeAnchor>
    <cdr:from>
      <cdr:x>0.56383000000000005</cdr:x>
      <cdr:y>0.64393999999999996</cdr:y>
    </cdr:from>
    <cdr:to>
      <cdr:x>0.62175000000000002</cdr:x>
      <cdr:y>0.64393999999999996</cdr:y>
    </cdr:to>
    <cdr:sp macro="">
      <cdr:nvSpPr>
        <cdr:cNvPr id="5" name="Straight Connector 4"/>
        <cdr:cNvSpPr/>
      </cdr:nvSpPr>
      <cdr:spPr>
        <a:xfrm rot="10800000">
          <a:off x="2065192" y="1840057"/>
          <a:ext cx="212147" cy="0"/>
        </a:xfrm>
        <a:prstGeom prst="line">
          <a:avLst/>
        </a:prstGeom>
      </cdr:spPr>
      <c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cdr:style>
      <cdr:txBody>
        <a:bodyPr vertOverflow="clip"/>
        <a:lstStyle/>
        <a:p>
          <a:endParaRPr lang="en-US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>
    <xdr:from>
      <xdr:col>1</xdr:col>
      <xdr:colOff>0</xdr:colOff>
      <xdr:row>0</xdr:row>
      <xdr:rowOff>0</xdr:rowOff>
    </xdr:from>
    <xdr:to>
      <xdr:col>7</xdr:col>
      <xdr:colOff>0</xdr:colOff>
      <xdr:row>15</xdr:row>
      <xdr:rowOff>0</xdr:rowOff>
    </xdr:to>
    <xdr:graphicFrame macro="">
      <xdr:nvGraphicFramePr>
        <xdr:cNvPr id="17" name="Chart 16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15</xdr:row>
      <xdr:rowOff>0</xdr:rowOff>
    </xdr:from>
    <xdr:to>
      <xdr:col>7</xdr:col>
      <xdr:colOff>0</xdr:colOff>
      <xdr:row>30</xdr:row>
      <xdr:rowOff>0</xdr:rowOff>
    </xdr:to>
    <xdr:graphicFrame macro="">
      <xdr:nvGraphicFramePr>
        <xdr:cNvPr id="18" name="Chart 17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0</xdr:colOff>
      <xdr:row>91</xdr:row>
      <xdr:rowOff>0</xdr:rowOff>
    </xdr:from>
    <xdr:to>
      <xdr:col>19</xdr:col>
      <xdr:colOff>0</xdr:colOff>
      <xdr:row>106</xdr:row>
      <xdr:rowOff>0</xdr:rowOff>
    </xdr:to>
    <xdr:graphicFrame macro="">
      <xdr:nvGraphicFramePr>
        <xdr:cNvPr id="19" name="Chart 18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106</xdr:row>
      <xdr:rowOff>0</xdr:rowOff>
    </xdr:from>
    <xdr:to>
      <xdr:col>19</xdr:col>
      <xdr:colOff>0</xdr:colOff>
      <xdr:row>121</xdr:row>
      <xdr:rowOff>0</xdr:rowOff>
    </xdr:to>
    <xdr:graphicFrame macro="">
      <xdr:nvGraphicFramePr>
        <xdr:cNvPr id="20" name="Chart 19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0</xdr:row>
      <xdr:rowOff>0</xdr:rowOff>
    </xdr:from>
    <xdr:to>
      <xdr:col>19</xdr:col>
      <xdr:colOff>0</xdr:colOff>
      <xdr:row>15</xdr:row>
      <xdr:rowOff>0</xdr:rowOff>
    </xdr:to>
    <xdr:graphicFrame macro="">
      <xdr:nvGraphicFramePr>
        <xdr:cNvPr id="21" name="Chart 20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0</xdr:colOff>
      <xdr:row>15</xdr:row>
      <xdr:rowOff>0</xdr:rowOff>
    </xdr:from>
    <xdr:to>
      <xdr:col>19</xdr:col>
      <xdr:colOff>0</xdr:colOff>
      <xdr:row>30</xdr:row>
      <xdr:rowOff>0</xdr:rowOff>
    </xdr:to>
    <xdr:graphicFrame macro="">
      <xdr:nvGraphicFramePr>
        <xdr:cNvPr id="22" name="Chart 21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7</xdr:col>
      <xdr:colOff>0</xdr:colOff>
      <xdr:row>45</xdr:row>
      <xdr:rowOff>0</xdr:rowOff>
    </xdr:to>
    <xdr:graphicFrame macro="">
      <xdr:nvGraphicFramePr>
        <xdr:cNvPr id="23" name="Chart 22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45</xdr:row>
      <xdr:rowOff>0</xdr:rowOff>
    </xdr:from>
    <xdr:to>
      <xdr:col>7</xdr:col>
      <xdr:colOff>0</xdr:colOff>
      <xdr:row>60</xdr:row>
      <xdr:rowOff>0</xdr:rowOff>
    </xdr:to>
    <xdr:graphicFrame macro="">
      <xdr:nvGraphicFramePr>
        <xdr:cNvPr id="24" name="Chart 23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0</xdr:colOff>
      <xdr:row>121</xdr:row>
      <xdr:rowOff>0</xdr:rowOff>
    </xdr:from>
    <xdr:to>
      <xdr:col>19</xdr:col>
      <xdr:colOff>0</xdr:colOff>
      <xdr:row>136</xdr:row>
      <xdr:rowOff>0</xdr:rowOff>
    </xdr:to>
    <xdr:graphicFrame macro="">
      <xdr:nvGraphicFramePr>
        <xdr:cNvPr id="25" name="Chart 24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0</xdr:colOff>
      <xdr:row>136</xdr:row>
      <xdr:rowOff>0</xdr:rowOff>
    </xdr:from>
    <xdr:to>
      <xdr:col>19</xdr:col>
      <xdr:colOff>0</xdr:colOff>
      <xdr:row>151</xdr:row>
      <xdr:rowOff>0</xdr:rowOff>
    </xdr:to>
    <xdr:graphicFrame macro="">
      <xdr:nvGraphicFramePr>
        <xdr:cNvPr id="26" name="Chart 25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0</xdr:colOff>
      <xdr:row>30</xdr:row>
      <xdr:rowOff>0</xdr:rowOff>
    </xdr:from>
    <xdr:to>
      <xdr:col>19</xdr:col>
      <xdr:colOff>0</xdr:colOff>
      <xdr:row>45</xdr:row>
      <xdr:rowOff>0</xdr:rowOff>
    </xdr:to>
    <xdr:graphicFrame macro="">
      <xdr:nvGraphicFramePr>
        <xdr:cNvPr id="27" name="Chart 26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13</xdr:col>
      <xdr:colOff>0</xdr:colOff>
      <xdr:row>45</xdr:row>
      <xdr:rowOff>0</xdr:rowOff>
    </xdr:from>
    <xdr:to>
      <xdr:col>19</xdr:col>
      <xdr:colOff>0</xdr:colOff>
      <xdr:row>60</xdr:row>
      <xdr:rowOff>0</xdr:rowOff>
    </xdr:to>
    <xdr:graphicFrame macro="">
      <xdr:nvGraphicFramePr>
        <xdr:cNvPr id="28" name="Chart 27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60</xdr:row>
      <xdr:rowOff>0</xdr:rowOff>
    </xdr:from>
    <xdr:to>
      <xdr:col>7</xdr:col>
      <xdr:colOff>0</xdr:colOff>
      <xdr:row>75</xdr:row>
      <xdr:rowOff>0</xdr:rowOff>
    </xdr:to>
    <xdr:graphicFrame macro="">
      <xdr:nvGraphicFramePr>
        <xdr:cNvPr id="29" name="Chart 28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0</xdr:colOff>
      <xdr:row>75</xdr:row>
      <xdr:rowOff>0</xdr:rowOff>
    </xdr:from>
    <xdr:to>
      <xdr:col>7</xdr:col>
      <xdr:colOff>0</xdr:colOff>
      <xdr:row>90</xdr:row>
      <xdr:rowOff>0</xdr:rowOff>
    </xdr:to>
    <xdr:graphicFrame macro="">
      <xdr:nvGraphicFramePr>
        <xdr:cNvPr id="30" name="Chart 29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7</xdr:col>
      <xdr:colOff>0</xdr:colOff>
      <xdr:row>121</xdr:row>
      <xdr:rowOff>0</xdr:rowOff>
    </xdr:from>
    <xdr:to>
      <xdr:col>13</xdr:col>
      <xdr:colOff>0</xdr:colOff>
      <xdr:row>136</xdr:row>
      <xdr:rowOff>0</xdr:rowOff>
    </xdr:to>
    <xdr:graphicFrame macro="">
      <xdr:nvGraphicFramePr>
        <xdr:cNvPr id="31" name="Chart 30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7</xdr:col>
      <xdr:colOff>0</xdr:colOff>
      <xdr:row>136</xdr:row>
      <xdr:rowOff>0</xdr:rowOff>
    </xdr:from>
    <xdr:to>
      <xdr:col>13</xdr:col>
      <xdr:colOff>0</xdr:colOff>
      <xdr:row>151</xdr:row>
      <xdr:rowOff>0</xdr:rowOff>
    </xdr:to>
    <xdr:graphicFrame macro="">
      <xdr:nvGraphicFramePr>
        <xdr:cNvPr id="32" name="Chart 31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0</xdr:colOff>
      <xdr:row>60</xdr:row>
      <xdr:rowOff>0</xdr:rowOff>
    </xdr:from>
    <xdr:to>
      <xdr:col>19</xdr:col>
      <xdr:colOff>0</xdr:colOff>
      <xdr:row>75</xdr:row>
      <xdr:rowOff>0</xdr:rowOff>
    </xdr:to>
    <xdr:graphicFrame macro="">
      <xdr:nvGraphicFramePr>
        <xdr:cNvPr id="33" name="Chart 32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0</xdr:colOff>
      <xdr:row>75</xdr:row>
      <xdr:rowOff>0</xdr:rowOff>
    </xdr:from>
    <xdr:to>
      <xdr:col>19</xdr:col>
      <xdr:colOff>0</xdr:colOff>
      <xdr:row>90</xdr:row>
      <xdr:rowOff>0</xdr:rowOff>
    </xdr:to>
    <xdr:graphicFrame macro="">
      <xdr:nvGraphicFramePr>
        <xdr:cNvPr id="34" name="Chart 33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</xdr:col>
      <xdr:colOff>0</xdr:colOff>
      <xdr:row>91</xdr:row>
      <xdr:rowOff>0</xdr:rowOff>
    </xdr:from>
    <xdr:to>
      <xdr:col>7</xdr:col>
      <xdr:colOff>0</xdr:colOff>
      <xdr:row>106</xdr:row>
      <xdr:rowOff>0</xdr:rowOff>
    </xdr:to>
    <xdr:graphicFrame macro="">
      <xdr:nvGraphicFramePr>
        <xdr:cNvPr id="35" name="Chart 34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</xdr:col>
      <xdr:colOff>0</xdr:colOff>
      <xdr:row>106</xdr:row>
      <xdr:rowOff>0</xdr:rowOff>
    </xdr:from>
    <xdr:to>
      <xdr:col>7</xdr:col>
      <xdr:colOff>0</xdr:colOff>
      <xdr:row>121</xdr:row>
      <xdr:rowOff>0</xdr:rowOff>
    </xdr:to>
    <xdr:graphicFrame macro="">
      <xdr:nvGraphicFramePr>
        <xdr:cNvPr id="36" name="Chart 35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7</xdr:col>
      <xdr:colOff>1</xdr:colOff>
      <xdr:row>0</xdr:row>
      <xdr:rowOff>0</xdr:rowOff>
    </xdr:from>
    <xdr:to>
      <xdr:col>13</xdr:col>
      <xdr:colOff>1</xdr:colOff>
      <xdr:row>15</xdr:row>
      <xdr:rowOff>0</xdr:rowOff>
    </xdr:to>
    <xdr:graphicFrame macro="">
      <xdr:nvGraphicFramePr>
        <xdr:cNvPr id="37" name="Chart 36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1</xdr:colOff>
      <xdr:row>15</xdr:row>
      <xdr:rowOff>0</xdr:rowOff>
    </xdr:from>
    <xdr:to>
      <xdr:col>13</xdr:col>
      <xdr:colOff>1</xdr:colOff>
      <xdr:row>30</xdr:row>
      <xdr:rowOff>0</xdr:rowOff>
    </xdr:to>
    <xdr:graphicFrame macro="">
      <xdr:nvGraphicFramePr>
        <xdr:cNvPr id="38" name="Chart 37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</xdr:col>
      <xdr:colOff>1</xdr:colOff>
      <xdr:row>30</xdr:row>
      <xdr:rowOff>0</xdr:rowOff>
    </xdr:from>
    <xdr:to>
      <xdr:col>13</xdr:col>
      <xdr:colOff>1</xdr:colOff>
      <xdr:row>45</xdr:row>
      <xdr:rowOff>0</xdr:rowOff>
    </xdr:to>
    <xdr:graphicFrame macro="">
      <xdr:nvGraphicFramePr>
        <xdr:cNvPr id="39" name="Chart 38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</xdr:col>
      <xdr:colOff>1</xdr:colOff>
      <xdr:row>45</xdr:row>
      <xdr:rowOff>0</xdr:rowOff>
    </xdr:from>
    <xdr:to>
      <xdr:col>13</xdr:col>
      <xdr:colOff>1</xdr:colOff>
      <xdr:row>60</xdr:row>
      <xdr:rowOff>0</xdr:rowOff>
    </xdr:to>
    <xdr:graphicFrame macro="">
      <xdr:nvGraphicFramePr>
        <xdr:cNvPr id="40" name="Chart 39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</xdr:col>
      <xdr:colOff>0</xdr:colOff>
      <xdr:row>121</xdr:row>
      <xdr:rowOff>0</xdr:rowOff>
    </xdr:from>
    <xdr:to>
      <xdr:col>7</xdr:col>
      <xdr:colOff>0</xdr:colOff>
      <xdr:row>136</xdr:row>
      <xdr:rowOff>0</xdr:rowOff>
    </xdr:to>
    <xdr:graphicFrame macro="">
      <xdr:nvGraphicFramePr>
        <xdr:cNvPr id="41" name="Chart 40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</xdr:col>
      <xdr:colOff>0</xdr:colOff>
      <xdr:row>136</xdr:row>
      <xdr:rowOff>0</xdr:rowOff>
    </xdr:from>
    <xdr:to>
      <xdr:col>7</xdr:col>
      <xdr:colOff>0</xdr:colOff>
      <xdr:row>151</xdr:row>
      <xdr:rowOff>0</xdr:rowOff>
    </xdr:to>
    <xdr:graphicFrame macro="">
      <xdr:nvGraphicFramePr>
        <xdr:cNvPr id="42" name="Chart 41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</xdr:col>
      <xdr:colOff>0</xdr:colOff>
      <xdr:row>91</xdr:row>
      <xdr:rowOff>0</xdr:rowOff>
    </xdr:from>
    <xdr:to>
      <xdr:col>13</xdr:col>
      <xdr:colOff>0</xdr:colOff>
      <xdr:row>106</xdr:row>
      <xdr:rowOff>0</xdr:rowOff>
    </xdr:to>
    <xdr:graphicFrame macro="">
      <xdr:nvGraphicFramePr>
        <xdr:cNvPr id="43" name="Chart 42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7</xdr:col>
      <xdr:colOff>0</xdr:colOff>
      <xdr:row>106</xdr:row>
      <xdr:rowOff>0</xdr:rowOff>
    </xdr:from>
    <xdr:to>
      <xdr:col>13</xdr:col>
      <xdr:colOff>0</xdr:colOff>
      <xdr:row>121</xdr:row>
      <xdr:rowOff>0</xdr:rowOff>
    </xdr:to>
    <xdr:graphicFrame macro="">
      <xdr:nvGraphicFramePr>
        <xdr:cNvPr id="44" name="Chart 43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7</xdr:col>
      <xdr:colOff>0</xdr:colOff>
      <xdr:row>60</xdr:row>
      <xdr:rowOff>0</xdr:rowOff>
    </xdr:from>
    <xdr:to>
      <xdr:col>13</xdr:col>
      <xdr:colOff>0</xdr:colOff>
      <xdr:row>75</xdr:row>
      <xdr:rowOff>0</xdr:rowOff>
    </xdr:to>
    <xdr:graphicFrame macro="">
      <xdr:nvGraphicFramePr>
        <xdr:cNvPr id="45" name="Chart 44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7</xdr:col>
      <xdr:colOff>0</xdr:colOff>
      <xdr:row>75</xdr:row>
      <xdr:rowOff>0</xdr:rowOff>
    </xdr:from>
    <xdr:to>
      <xdr:col>13</xdr:col>
      <xdr:colOff>0</xdr:colOff>
      <xdr:row>90</xdr:row>
      <xdr:rowOff>0</xdr:rowOff>
    </xdr:to>
    <xdr:graphicFrame macro="">
      <xdr:nvGraphicFramePr>
        <xdr:cNvPr id="46" name="Chart 45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>
    <xdr:from>
      <xdr:col>0</xdr:col>
      <xdr:colOff>0</xdr:colOff>
      <xdr:row>15</xdr:row>
      <xdr:rowOff>0</xdr:rowOff>
    </xdr:from>
    <xdr:to>
      <xdr:col>7</xdr:col>
      <xdr:colOff>0</xdr:colOff>
      <xdr:row>30</xdr:row>
      <xdr:rowOff>0</xdr:rowOff>
    </xdr:to>
    <xdr:graphicFrame macro="">
      <xdr:nvGraphicFramePr>
        <xdr:cNvPr id="7" name="Chart 6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7</xdr:col>
      <xdr:colOff>0</xdr:colOff>
      <xdr:row>15</xdr:row>
      <xdr:rowOff>0</xdr:rowOff>
    </xdr:to>
    <xdr:graphicFrame macro="">
      <xdr:nvGraphicFramePr>
        <xdr:cNvPr id="8" name="Chart 7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>
    <xdr:from>
      <xdr:col>13</xdr:col>
      <xdr:colOff>0</xdr:colOff>
      <xdr:row>1</xdr:row>
      <xdr:rowOff>200024</xdr:rowOff>
    </xdr:from>
    <xdr:to>
      <xdr:col>22</xdr:col>
      <xdr:colOff>571500</xdr:colOff>
      <xdr:row>24</xdr:row>
      <xdr:rowOff>133349</xdr:rowOff>
    </xdr:to>
    <xdr:graphicFrame macro="">
      <xdr:nvGraphicFramePr>
        <xdr:cNvPr id="5" name="Chart 4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22</xdr:col>
      <xdr:colOff>590549</xdr:colOff>
      <xdr:row>47</xdr:row>
      <xdr:rowOff>114300</xdr:rowOff>
    </xdr:to>
    <xdr:graphicFrame macro="">
      <xdr:nvGraphicFramePr>
        <xdr:cNvPr id="6" name="Chart 5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>
    <xdr:from>
      <xdr:col>22</xdr:col>
      <xdr:colOff>161924</xdr:colOff>
      <xdr:row>5</xdr:row>
      <xdr:rowOff>180975</xdr:rowOff>
    </xdr:from>
    <xdr:to>
      <xdr:col>29</xdr:col>
      <xdr:colOff>466725</xdr:colOff>
      <xdr:row>39</xdr:row>
      <xdr:rowOff>161924</xdr:rowOff>
    </xdr:to>
    <xdr:graphicFrame macro="">
      <xdr:nvGraphicFramePr>
        <xdr:cNvPr id="12" name="Chart 11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6</xdr:row>
      <xdr:rowOff>47625</xdr:rowOff>
    </xdr:from>
    <xdr:to>
      <xdr:col>22</xdr:col>
      <xdr:colOff>0</xdr:colOff>
      <xdr:row>40</xdr:row>
      <xdr:rowOff>47625</xdr:rowOff>
    </xdr:to>
    <xdr:graphicFrame macro="">
      <xdr:nvGraphicFramePr>
        <xdr:cNvPr id="16" name="Chart 15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>
    <xdr:from>
      <xdr:col>11</xdr:col>
      <xdr:colOff>0</xdr:colOff>
      <xdr:row>1</xdr:row>
      <xdr:rowOff>0</xdr:rowOff>
    </xdr:from>
    <xdr:to>
      <xdr:col>23</xdr:col>
      <xdr:colOff>285750</xdr:colOff>
      <xdr:row>28</xdr:row>
      <xdr:rowOff>171450</xdr:rowOff>
    </xdr:to>
    <xdr:graphicFrame macro=""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>
    <xdr:from>
      <xdr:col>38</xdr:col>
      <xdr:colOff>0</xdr:colOff>
      <xdr:row>7</xdr:row>
      <xdr:rowOff>180975</xdr:rowOff>
    </xdr:from>
    <xdr:to>
      <xdr:col>44</xdr:col>
      <xdr:colOff>0</xdr:colOff>
      <xdr:row>24</xdr:row>
      <xdr:rowOff>0</xdr:rowOff>
    </xdr:to>
    <xdr:graphicFrame macro="">
      <xdr:nvGraphicFramePr>
        <xdr:cNvPr id="2" name="Chart 1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161924</xdr:colOff>
      <xdr:row>26</xdr:row>
      <xdr:rowOff>47625</xdr:rowOff>
    </xdr:from>
    <xdr:to>
      <xdr:col>39</xdr:col>
      <xdr:colOff>466725</xdr:colOff>
      <xdr:row>40</xdr:row>
      <xdr:rowOff>123824</xdr:rowOff>
    </xdr:to>
    <xdr:graphicFrame macro="">
      <xdr:nvGraphicFramePr>
        <xdr:cNvPr id="3" name="Chart 2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 xmlns:r="http://schemas.openxmlformats.org/officeDocument/2006/relationships" xmlns:p="http://schemas.openxmlformats.org/presentation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Arial"/>
      <a:cs typeface="Arial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Arial"/>
      <a:cs typeface="Arial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/Relationships>
</file>

<file path=xl/worksheets/_rels/sheet12.xml.rels><?xml version="1.0" encoding="UTF-8" standalone="yes"?><Relationships xmlns="http://schemas.openxmlformats.org/package/2006/relationships"><Relationship  Id="rId3" Type="http://schemas.openxmlformats.org/officeDocument/2006/relationships/vmlDrawing" Target="../drawings/vmlDrawing1.vml"/><Relationship  Id="rId2" Type="http://schemas.openxmlformats.org/officeDocument/2006/relationships/drawing" Target="../drawings/drawing8.xml"/><Relationship 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S4" zoomScaleNormal="100" workbookViewId="0">
      <selection activeCell="AE181" sqref="AE181"/>
    </sheetView>
  </sheetViews>
  <sheetFormatPr defaultRowHeight="15"/>
  <cols>
    <col bestFit="1" customWidth="1" min="1" max="1" style="46" width="4.7109375"/>
    <col min="2" max="2" style="46" width="9.140625"/>
    <col bestFit="1" customWidth="1" min="3" max="4" style="46" width="12"/>
    <col customWidth="1" min="5" max="5" style="46" width="13.28515625"/>
    <col customWidth="1" min="6" max="7" style="46" width="11.28515625"/>
    <col bestFit="1" customWidth="1" min="8" max="8" style="46" width="11.85546875"/>
    <col customWidth="1" min="9" max="9" style="46" width="11.85546875"/>
    <col customWidth="1" min="10" max="10" style="46" width="16"/>
    <col customWidth="1" min="11" max="14" style="46" width="11.85546875"/>
    <col customWidth="1" min="15" max="15" style="46" width="16.85546875"/>
    <col customWidth="1" min="16" max="18" style="46" width="11.85546875"/>
    <col customWidth="1" min="19" max="19" style="46" width="1.140625"/>
    <col customWidth="1" min="20" max="20" style="46" width="11.28515625"/>
    <col customWidth="1" min="21" max="21" style="46" width="13.5703125"/>
    <col customWidth="1" min="22" max="22" style="46" width="14.140625"/>
    <col customWidth="1" min="23" max="23" style="46" width="18"/>
    <col customWidth="1" min="24" max="25" style="46" width="11.28515625"/>
    <col customWidth="1" min="26" max="26" style="46" width="13.5703125"/>
    <col customWidth="1" min="27" max="27" style="46" width="14.140625"/>
    <col customWidth="1" min="28" max="28" style="46" width="18"/>
    <col customWidth="1" min="29" max="29" style="46" width="11.28515625"/>
    <col customWidth="1" min="30" max="30" style="46" width="10.5703125"/>
    <col customWidth="1" min="31" max="31" style="46" width="10.7109375"/>
    <col customWidth="1" min="32" max="32" style="46" width="14.140625"/>
    <col bestFit="1" customWidth="1" min="33" max="33" style="46" width="11.7109375"/>
    <col bestFit="1" customWidth="1" min="34" max="34" style="46" width="10.140625"/>
    <col min="35" max="16384" style="46" width="9.140625"/>
  </cols>
  <sheetData>
    <row r="2">
      <c r="L2" s="46" t="s">
        <v>134</v>
      </c>
      <c r="M2" s="51">
        <f>MAX(M8:M206)</f>
        <v>1.6184879999999999</v>
      </c>
      <c r="Y2" s="46" t="s">
        <v>134</v>
      </c>
      <c r="Z2" s="51">
        <f>MAX(Z8:Z206)</f>
        <v>1.2299850432000001</v>
      </c>
    </row>
    <row r="3">
      <c r="L3" s="46" t="s">
        <v>135</v>
      </c>
      <c r="M3" s="51">
        <f>MIN(M8:M206)</f>
        <v>0</v>
      </c>
      <c r="Y3" s="46" t="s">
        <v>135</v>
      </c>
      <c r="Z3" s="51">
        <f>MIN(Z8:Z206)</f>
        <v>0.099998784000000021</v>
      </c>
    </row>
    <row r="4">
      <c r="L4" s="46" t="s">
        <v>77</v>
      </c>
      <c r="M4" s="51">
        <f>M2-M3</f>
        <v>1.6184879999999999</v>
      </c>
      <c r="Y4" s="46" t="s">
        <v>77</v>
      </c>
      <c r="Z4" s="51">
        <f>Z2-Z3</f>
        <v>1.1299862592000001</v>
      </c>
    </row>
    <row r="6">
      <c r="H6" s="78" t="s">
        <v>99</v>
      </c>
      <c r="I6" s="78"/>
      <c r="J6" s="78"/>
      <c r="K6" s="78"/>
      <c r="L6" s="47"/>
      <c r="M6" s="47"/>
      <c r="N6" s="47"/>
      <c r="O6" s="47"/>
      <c r="P6" s="47"/>
      <c r="Q6" s="47"/>
      <c r="R6" s="47"/>
      <c r="U6" s="78" t="s">
        <v>104</v>
      </c>
      <c r="V6" s="78"/>
      <c r="W6" s="78"/>
      <c r="X6" s="78"/>
      <c r="Y6" s="47"/>
      <c r="Z6" s="47"/>
      <c r="AA6" s="47"/>
      <c r="AB6" s="47"/>
      <c r="AC6" s="47"/>
      <c r="AD6" s="47"/>
      <c r="AE6" s="47"/>
      <c r="AF6" s="47"/>
      <c r="AI6" s="48" t="s">
        <v>113</v>
      </c>
      <c r="AJ6" s="46">
        <f>COUNT(AE8:AE206)</f>
        <v>199</v>
      </c>
    </row>
    <row r="7" ht="30">
      <c r="B7" s="49" t="s">
        <v>0</v>
      </c>
      <c r="C7" s="49" t="s">
        <v>1</v>
      </c>
      <c r="D7" s="49" t="s">
        <v>2</v>
      </c>
      <c r="E7" s="49" t="s">
        <v>3</v>
      </c>
      <c r="F7" s="49" t="s">
        <v>5</v>
      </c>
      <c r="G7" s="50" t="s">
        <v>114</v>
      </c>
      <c r="H7" s="49" t="s">
        <v>115</v>
      </c>
      <c r="I7" s="49" t="s">
        <v>116</v>
      </c>
      <c r="J7" s="49" t="s">
        <v>117</v>
      </c>
      <c r="K7" s="49" t="s">
        <v>118</v>
      </c>
      <c r="L7" s="50" t="s">
        <v>121</v>
      </c>
      <c r="M7" s="49" t="s">
        <v>122</v>
      </c>
      <c r="N7" s="49" t="s">
        <v>123</v>
      </c>
      <c r="O7" s="49" t="s">
        <v>124</v>
      </c>
      <c r="P7" s="49" t="s">
        <v>125</v>
      </c>
      <c r="Q7" s="49" t="s">
        <v>109</v>
      </c>
      <c r="R7" s="49" t="s">
        <v>110</v>
      </c>
      <c r="T7" s="50" t="s">
        <v>114</v>
      </c>
      <c r="U7" s="49" t="s">
        <v>100</v>
      </c>
      <c r="V7" s="49" t="s">
        <v>103</v>
      </c>
      <c r="W7" s="49" t="s">
        <v>119</v>
      </c>
      <c r="X7" s="49" t="s">
        <v>120</v>
      </c>
      <c r="Y7" s="50" t="s">
        <v>121</v>
      </c>
      <c r="Z7" s="49" t="s">
        <v>126</v>
      </c>
      <c r="AA7" s="49" t="s">
        <v>127</v>
      </c>
      <c r="AB7" s="49" t="s">
        <v>128</v>
      </c>
      <c r="AC7" s="49" t="s">
        <v>129</v>
      </c>
      <c r="AD7" s="49" t="s">
        <v>109</v>
      </c>
      <c r="AE7" s="49" t="s">
        <v>110</v>
      </c>
      <c r="AF7" s="49"/>
    </row>
    <row r="8" s="72" customFormat="1" ht="15.75" customHeight="1">
      <c r="A8" s="71" t="s">
        <v>97</v>
      </c>
      <c r="B8" s="72">
        <v>1000</v>
      </c>
      <c r="C8" s="72">
        <v>2204126.0989999999</v>
      </c>
      <c r="D8" s="72">
        <v>6720658.3700000001</v>
      </c>
      <c r="E8" s="72">
        <v>127.3</v>
      </c>
      <c r="F8" s="72">
        <v>795</v>
      </c>
      <c r="G8" s="72">
        <v>15.024239381893709</v>
      </c>
      <c r="H8" s="72">
        <v>0.71999999999999997</v>
      </c>
      <c r="I8" s="72">
        <v>1.2730900000000001</v>
      </c>
      <c r="J8" s="72">
        <f t="shared" ref="J8:J26" si="0">I8-H8</f>
        <v>0.55309000000000008</v>
      </c>
      <c r="K8" s="72">
        <f t="shared" ref="K8:K26" si="1">ABS(J8)</f>
        <v>0.55309000000000008</v>
      </c>
      <c r="L8" s="73">
        <f>G8*0.3048</f>
        <v>4.5793881636012026</v>
      </c>
      <c r="M8" s="73">
        <f>H8*0.3048</f>
        <v>0.21945600000000001</v>
      </c>
      <c r="N8" s="73">
        <f>I8*0.3048</f>
        <v>0.38803783200000003</v>
      </c>
      <c r="O8" s="73">
        <f>J8*0.3048</f>
        <v>0.16858183200000004</v>
      </c>
      <c r="P8" s="73">
        <f>K8*0.3048</f>
        <v>0.16858183200000004</v>
      </c>
      <c r="Q8" s="74">
        <f>100*J8/H8</f>
        <v>76.818055555555574</v>
      </c>
      <c r="R8" s="74">
        <f>ABS(Q8)</f>
        <v>76.818055555555574</v>
      </c>
      <c r="T8" s="72">
        <v>15.024239381893709</v>
      </c>
      <c r="U8" s="74">
        <v>0.49212</v>
      </c>
      <c r="V8" s="74">
        <v>0.46520499999999998</v>
      </c>
      <c r="W8" s="74">
        <f>V8-U8</f>
        <v>-0.026915000000000022</v>
      </c>
      <c r="X8" s="74">
        <f>ABS(W8)</f>
        <v>0.026915000000000022</v>
      </c>
      <c r="Y8" s="74">
        <f t="shared" ref="Y8:AC10" si="2">T8*0.3048</f>
        <v>4.5793881636012026</v>
      </c>
      <c r="Z8" s="74">
        <f t="shared" si="2"/>
        <v>0.14999817600000001</v>
      </c>
      <c r="AA8" s="74">
        <f t="shared" si="2"/>
        <v>0.141794484</v>
      </c>
      <c r="AB8" s="74">
        <f t="shared" si="2"/>
        <v>-0.0082036920000000072</v>
      </c>
      <c r="AC8" s="74">
        <f t="shared" si="2"/>
        <v>0.0082036920000000072</v>
      </c>
      <c r="AD8" s="74">
        <f>100*W8/U8</f>
        <v>-5.4691945054051905</v>
      </c>
      <c r="AE8" s="74">
        <f>ABS(AD8)</f>
        <v>5.4691945054051905</v>
      </c>
      <c r="AG8" s="73"/>
      <c r="AH8" s="74"/>
    </row>
    <row r="9" ht="15.75">
      <c r="B9" s="46">
        <v>1001</v>
      </c>
      <c r="C9" s="46">
        <v>2204119.3300000001</v>
      </c>
      <c r="D9" s="46">
        <v>6720666.676</v>
      </c>
      <c r="E9" s="46">
        <v>127.28400000000001</v>
      </c>
      <c r="F9" s="46">
        <v>795</v>
      </c>
      <c r="G9" s="46">
        <v>25.739135414791335</v>
      </c>
      <c r="H9" s="46">
        <v>1.25</v>
      </c>
      <c r="I9" s="46">
        <v>1.797669</v>
      </c>
      <c r="J9" s="46">
        <f t="shared" si="0"/>
        <v>0.54766899999999996</v>
      </c>
      <c r="K9" s="46">
        <f t="shared" si="1"/>
        <v>0.54766899999999996</v>
      </c>
      <c r="L9" s="51">
        <f t="shared" ref="L9:L72" si="3">G9*0.3048</f>
        <v>7.8452884744283988</v>
      </c>
      <c r="M9" s="51">
        <f t="shared" ref="M9:M72" si="4">H9*0.3048</f>
        <v>0.38100000000000001</v>
      </c>
      <c r="N9" s="51">
        <f t="shared" ref="N9:N72" si="5">I9*0.3048</f>
        <v>0.5479295112</v>
      </c>
      <c r="O9" s="51">
        <f t="shared" ref="O9:O72" si="6">J9*0.3048</f>
        <v>0.16692951119999999</v>
      </c>
      <c r="P9" s="51">
        <f t="shared" ref="P9:P72" si="7">K9*0.3048</f>
        <v>0.16692951119999999</v>
      </c>
      <c r="Q9" s="52">
        <f t="shared" ref="Q9:Q26" si="8">100*J9/H9</f>
        <v>43.813519999999997</v>
      </c>
      <c r="R9" s="52">
        <f t="shared" ref="R9:R26" si="9">ABS(Q9)</f>
        <v>43.813519999999997</v>
      </c>
      <c r="T9" s="46">
        <v>25.739135414791335</v>
      </c>
      <c r="U9" s="52">
        <v>0.72177600000000008</v>
      </c>
      <c r="V9" s="52">
        <v>0.89914099999999997</v>
      </c>
      <c r="W9" s="52">
        <f t="shared" ref="W9:W26" si="10">V9-U9</f>
        <v>0.17736499999999988</v>
      </c>
      <c r="X9" s="52">
        <f t="shared" ref="X9:X26" si="11">ABS(W9)</f>
        <v>0.17736499999999988</v>
      </c>
      <c r="Y9" s="52">
        <f t="shared" si="2"/>
        <v>7.8452884744283988</v>
      </c>
      <c r="Z9" s="52">
        <f t="shared" si="2"/>
        <v>0.21999732480000003</v>
      </c>
      <c r="AA9" s="52">
        <f t="shared" si="2"/>
        <v>0.2740581768</v>
      </c>
      <c r="AB9" s="52">
        <f t="shared" si="2"/>
        <v>0.054060851999999965</v>
      </c>
      <c r="AC9" s="52">
        <f t="shared" si="2"/>
        <v>0.054060851999999965</v>
      </c>
      <c r="AD9" s="52">
        <f t="shared" ref="AD9:AD26" si="12">100*W9/U9</f>
        <v>24.573413358160963</v>
      </c>
      <c r="AE9" s="52">
        <f>ABS(AD9)</f>
        <v>24.573413358160963</v>
      </c>
    </row>
    <row r="10">
      <c r="B10" s="46">
        <v>1002</v>
      </c>
      <c r="C10" s="46">
        <v>2204112.7119999998</v>
      </c>
      <c r="D10" s="46">
        <v>6720672.96</v>
      </c>
      <c r="E10" s="46">
        <v>126.76900000000001</v>
      </c>
      <c r="F10" s="46">
        <v>795</v>
      </c>
      <c r="G10" s="46">
        <v>34.865283561907745</v>
      </c>
      <c r="H10" s="46">
        <v>1.3500000000000001</v>
      </c>
      <c r="I10" s="46">
        <v>2.1074760000000001</v>
      </c>
      <c r="J10" s="46">
        <f t="shared" si="0"/>
        <v>0.75747600000000004</v>
      </c>
      <c r="K10" s="46">
        <f t="shared" si="1"/>
        <v>0.75747600000000004</v>
      </c>
      <c r="L10" s="51">
        <f t="shared" si="3"/>
        <v>10.626938429669481</v>
      </c>
      <c r="M10" s="51">
        <f t="shared" si="4"/>
        <v>0.41148000000000007</v>
      </c>
      <c r="N10" s="51">
        <f t="shared" si="5"/>
        <v>0.64235868480000002</v>
      </c>
      <c r="O10" s="51">
        <f t="shared" si="6"/>
        <v>0.23087868480000001</v>
      </c>
      <c r="P10" s="51">
        <f t="shared" si="7"/>
        <v>0.23087868480000001</v>
      </c>
      <c r="Q10" s="52">
        <f t="shared" si="8"/>
        <v>56.109333333333332</v>
      </c>
      <c r="R10" s="52">
        <f t="shared" si="9"/>
        <v>56.109333333333332</v>
      </c>
      <c r="T10" s="46">
        <v>34.865283561907745</v>
      </c>
      <c r="U10" s="52">
        <v>1.0826640000000001</v>
      </c>
      <c r="V10" s="52">
        <v>1.0746340000000001</v>
      </c>
      <c r="W10" s="52">
        <f t="shared" si="10"/>
        <v>-0.0080299999999999816</v>
      </c>
      <c r="X10" s="52">
        <f t="shared" si="11"/>
        <v>0.0080299999999999816</v>
      </c>
      <c r="Y10" s="52">
        <f t="shared" si="2"/>
        <v>10.626938429669481</v>
      </c>
      <c r="Z10" s="52">
        <f t="shared" si="2"/>
        <v>0.32999598720000006</v>
      </c>
      <c r="AA10" s="52">
        <f t="shared" si="2"/>
        <v>0.32754844320000004</v>
      </c>
      <c r="AB10" s="52">
        <f t="shared" si="2"/>
        <v>-0.0024475439999999946</v>
      </c>
      <c r="AC10" s="52">
        <f t="shared" si="2"/>
        <v>0.0024475439999999946</v>
      </c>
      <c r="AD10" s="52">
        <f t="shared" si="12"/>
        <v>-0.7416890189384685</v>
      </c>
      <c r="AE10" s="52">
        <f>ABS(AD10)</f>
        <v>0.7416890189384685</v>
      </c>
      <c r="AH10"/>
      <c r="AJ10" s="11" t="s">
        <v>133</v>
      </c>
      <c r="AK10" s="11" t="s">
        <v>84</v>
      </c>
      <c r="AL10" s="11"/>
      <c r="AM10" s="11" t="s">
        <v>85</v>
      </c>
    </row>
    <row r="11">
      <c r="B11" s="46">
        <v>1003</v>
      </c>
      <c r="C11" s="46">
        <v>2204105.5589999999</v>
      </c>
      <c r="D11" s="46">
        <v>6720680.3119999999</v>
      </c>
      <c r="E11" s="46">
        <v>126.88500000000001</v>
      </c>
      <c r="F11" s="46">
        <v>795</v>
      </c>
      <c r="G11" s="46">
        <v>45.122832635559959</v>
      </c>
      <c r="H11" s="46">
        <v>1.71</v>
      </c>
      <c r="I11" s="46">
        <v>2.2452429999999999</v>
      </c>
      <c r="J11" s="46">
        <f t="shared" si="0"/>
        <v>0.53524299999999991</v>
      </c>
      <c r="K11" s="46">
        <f t="shared" si="1"/>
        <v>0.53524299999999991</v>
      </c>
      <c r="L11" s="51">
        <f t="shared" si="3"/>
        <v>13.753439387318677</v>
      </c>
      <c r="M11" s="51">
        <f t="shared" si="4"/>
        <v>0.521208</v>
      </c>
      <c r="N11" s="51">
        <f t="shared" si="5"/>
        <v>0.68435006639999996</v>
      </c>
      <c r="O11" s="51">
        <f t="shared" si="6"/>
        <v>0.16314206639999998</v>
      </c>
      <c r="P11" s="51">
        <f t="shared" si="7"/>
        <v>0.16314206639999998</v>
      </c>
      <c r="Q11" s="52">
        <f t="shared" si="8"/>
        <v>31.300760233918123</v>
      </c>
      <c r="R11" s="52">
        <f t="shared" si="9"/>
        <v>31.300760233918123</v>
      </c>
      <c r="T11" s="41">
        <v>45.122832635559959</v>
      </c>
      <c r="U11" s="44">
        <f>AVERAGE(U10,U12)</f>
        <v>1.0990680000000002</v>
      </c>
      <c r="V11" s="41">
        <v>1.277992</v>
      </c>
      <c r="W11" s="41">
        <f t="shared" si="10"/>
        <v>0.17892399999999986</v>
      </c>
      <c r="X11" s="41">
        <f t="shared" si="11"/>
        <v>0.17892399999999986</v>
      </c>
      <c r="Y11" s="52">
        <f t="shared" ref="Y11" si="13">T11*0.3048</f>
        <v>13.753439387318677</v>
      </c>
      <c r="Z11" s="52">
        <f t="shared" ref="Z11" si="14">U11*0.3048</f>
        <v>0.33499592640000009</v>
      </c>
      <c r="AA11" s="52">
        <f t="shared" ref="AA11" si="15">V11*0.3048</f>
        <v>0.38953196160000003</v>
      </c>
      <c r="AB11" s="52">
        <f t="shared" ref="AB11" si="16">W11*0.3048</f>
        <v>0.054536035199999958</v>
      </c>
      <c r="AC11" s="52">
        <f t="shared" ref="AC11" si="17">X11*0.3048</f>
        <v>0.054536035199999958</v>
      </c>
      <c r="AD11" s="52">
        <f t="shared" ref="AD11" si="18">100*W11/U11</f>
        <v>16.279611452612563</v>
      </c>
      <c r="AE11" s="52">
        <f>ABS(AD11)</f>
        <v>16.279611452612563</v>
      </c>
      <c r="AH11"/>
      <c r="AJ11" s="14">
        <v>0.25</v>
      </c>
      <c r="AK11" s="9">
        <v>20</v>
      </c>
      <c r="AL11" s="76">
        <f>AK11/$AK$22</f>
        <v>0.10050251256281408</v>
      </c>
      <c r="AM11" s="15">
        <v>0.10050251256281408</v>
      </c>
    </row>
    <row r="12">
      <c r="B12" s="46">
        <v>1004</v>
      </c>
      <c r="C12" s="46">
        <v>2204099.7820000001</v>
      </c>
      <c r="D12" s="46">
        <v>6720687.574</v>
      </c>
      <c r="E12" s="46">
        <v>126.786</v>
      </c>
      <c r="F12" s="46">
        <v>795</v>
      </c>
      <c r="G12" s="46">
        <v>54.402400136195233</v>
      </c>
      <c r="H12" s="46">
        <v>1.8</v>
      </c>
      <c r="I12" s="46">
        <v>2.309701</v>
      </c>
      <c r="J12" s="46">
        <f t="shared" si="0"/>
        <v>0.50970099999999996</v>
      </c>
      <c r="K12" s="46">
        <f t="shared" si="1"/>
        <v>0.50970099999999996</v>
      </c>
      <c r="L12" s="51">
        <f t="shared" si="3"/>
        <v>16.581851561512309</v>
      </c>
      <c r="M12" s="51">
        <f t="shared" si="4"/>
        <v>0.54864000000000002</v>
      </c>
      <c r="N12" s="51">
        <f t="shared" si="5"/>
        <v>0.70399686480000001</v>
      </c>
      <c r="O12" s="51">
        <f t="shared" si="6"/>
        <v>0.15535686479999999</v>
      </c>
      <c r="P12" s="51">
        <f t="shared" si="7"/>
        <v>0.15535686479999999</v>
      </c>
      <c r="Q12" s="52">
        <f t="shared" si="8"/>
        <v>28.316722222222218</v>
      </c>
      <c r="R12" s="52">
        <f t="shared" si="9"/>
        <v>28.316722222222218</v>
      </c>
      <c r="T12" s="46">
        <v>54.402400136195233</v>
      </c>
      <c r="U12" s="52">
        <v>1.1154720000000002</v>
      </c>
      <c r="V12" s="52">
        <v>1.421683</v>
      </c>
      <c r="W12" s="52">
        <f t="shared" si="10"/>
        <v>0.30621099999999979</v>
      </c>
      <c r="X12" s="52">
        <f t="shared" si="11"/>
        <v>0.30621099999999979</v>
      </c>
      <c r="Y12" s="52">
        <f>T12*0.3048</f>
        <v>16.581851561512309</v>
      </c>
      <c r="Z12" s="52">
        <f>U12*0.3048</f>
        <v>0.33999586560000011</v>
      </c>
      <c r="AA12" s="52">
        <f>V12*0.3048</f>
        <v>0.43332897840000001</v>
      </c>
      <c r="AB12" s="52">
        <f>W12*0.3048</f>
        <v>0.093333112799999937</v>
      </c>
      <c r="AC12" s="52">
        <f>X12*0.3048</f>
        <v>0.093333112799999937</v>
      </c>
      <c r="AD12" s="52">
        <f t="shared" si="12"/>
        <v>27.45124933660367</v>
      </c>
      <c r="AE12" s="52">
        <f t="shared" ref="AE12:AE26" si="19">ABS(AD12)</f>
        <v>27.45124933660367</v>
      </c>
      <c r="AH12"/>
      <c r="AJ12" s="14">
        <v>0.5</v>
      </c>
      <c r="AK12" s="9">
        <v>56</v>
      </c>
      <c r="AL12" s="76">
        <f t="shared" ref="AL12:AL20" si="20">AK12/$AK$22</f>
        <v>0.28140703517587939</v>
      </c>
      <c r="AM12" s="15">
        <v>0.38190954773869346</v>
      </c>
    </row>
    <row r="13">
      <c r="B13" s="46">
        <v>1005</v>
      </c>
      <c r="C13" s="46">
        <v>2204093.5690000001</v>
      </c>
      <c r="D13" s="46">
        <v>6720695.3130000001</v>
      </c>
      <c r="E13" s="46">
        <v>126.31399999999999</v>
      </c>
      <c r="F13" s="46">
        <v>795</v>
      </c>
      <c r="G13" s="46">
        <v>64.326788782393223</v>
      </c>
      <c r="H13" s="46">
        <v>2</v>
      </c>
      <c r="I13" s="46">
        <v>2.3128289999999998</v>
      </c>
      <c r="J13" s="46">
        <f t="shared" si="0"/>
        <v>0.3128289999999998</v>
      </c>
      <c r="K13" s="46">
        <f t="shared" si="1"/>
        <v>0.3128289999999998</v>
      </c>
      <c r="L13" s="51">
        <f t="shared" si="3"/>
        <v>19.606805220873454</v>
      </c>
      <c r="M13" s="51">
        <f t="shared" si="4"/>
        <v>0.60960000000000003</v>
      </c>
      <c r="N13" s="51">
        <f t="shared" si="5"/>
        <v>0.70495027919999997</v>
      </c>
      <c r="O13" s="51">
        <f t="shared" si="6"/>
        <v>0.095350279199999943</v>
      </c>
      <c r="P13" s="51">
        <f t="shared" si="7"/>
        <v>0.095350279199999943</v>
      </c>
      <c r="Q13" s="52">
        <f t="shared" si="8"/>
        <v>15.64144999999999</v>
      </c>
      <c r="R13" s="52">
        <f t="shared" si="9"/>
        <v>15.64144999999999</v>
      </c>
      <c r="T13" s="46">
        <v>64.326788782393223</v>
      </c>
      <c r="U13" s="52">
        <v>1.4763600000000001</v>
      </c>
      <c r="V13" s="52">
        <v>1.6564319999999999</v>
      </c>
      <c r="W13" s="52">
        <f t="shared" si="10"/>
        <v>0.18007199999999979</v>
      </c>
      <c r="X13" s="52">
        <f t="shared" si="11"/>
        <v>0.18007199999999979</v>
      </c>
      <c r="Y13" s="52">
        <f t="shared" ref="Y13:Y76" si="21">T13*0.3048</f>
        <v>19.606805220873454</v>
      </c>
      <c r="Z13" s="52">
        <f t="shared" ref="Z13:Z76" si="22">U13*0.3048</f>
        <v>0.44999452800000006</v>
      </c>
      <c r="AA13" s="52">
        <f t="shared" ref="AA13:AA76" si="23">V13*0.3048</f>
        <v>0.50488047359999999</v>
      </c>
      <c r="AB13" s="52">
        <f t="shared" ref="AB13:AB76" si="24">W13*0.3048</f>
        <v>0.054885945599999937</v>
      </c>
      <c r="AC13" s="52">
        <f t="shared" ref="AC13:AC76" si="25">X13*0.3048</f>
        <v>0.054885945599999937</v>
      </c>
      <c r="AD13" s="52">
        <f t="shared" si="12"/>
        <v>12.197025115825394</v>
      </c>
      <c r="AE13" s="52">
        <f t="shared" si="19"/>
        <v>12.197025115825394</v>
      </c>
      <c r="AH13"/>
      <c r="AJ13" s="14">
        <v>0.75</v>
      </c>
      <c r="AK13" s="9">
        <v>45</v>
      </c>
      <c r="AL13" s="76">
        <f t="shared" si="20"/>
        <v>0.22613065326633167</v>
      </c>
      <c r="AM13" s="15">
        <v>0.60804020100502509</v>
      </c>
    </row>
    <row r="14">
      <c r="B14" s="46">
        <v>1006</v>
      </c>
      <c r="C14" s="46">
        <v>2204087.3429999999</v>
      </c>
      <c r="D14" s="46">
        <v>6720702.3420000002</v>
      </c>
      <c r="E14" s="46">
        <v>126.256</v>
      </c>
      <c r="F14" s="46">
        <v>795</v>
      </c>
      <c r="G14" s="46">
        <v>73.716672541235098</v>
      </c>
      <c r="H14" s="46">
        <v>1.97</v>
      </c>
      <c r="I14" s="46">
        <v>2.3293469999999998</v>
      </c>
      <c r="J14" s="46">
        <f t="shared" si="0"/>
        <v>0.35934699999999986</v>
      </c>
      <c r="K14" s="46">
        <f t="shared" si="1"/>
        <v>0.35934699999999986</v>
      </c>
      <c r="L14" s="51">
        <f t="shared" si="3"/>
        <v>22.468841790568458</v>
      </c>
      <c r="M14" s="51">
        <f t="shared" si="4"/>
        <v>0.60045599999999999</v>
      </c>
      <c r="N14" s="51">
        <f t="shared" si="5"/>
        <v>0.70998496560000002</v>
      </c>
      <c r="O14" s="51">
        <f t="shared" si="6"/>
        <v>0.10952896559999996</v>
      </c>
      <c r="P14" s="51">
        <f t="shared" si="7"/>
        <v>0.10952896559999996</v>
      </c>
      <c r="Q14" s="52">
        <f t="shared" si="8"/>
        <v>18.240964467005067</v>
      </c>
      <c r="R14" s="52">
        <f t="shared" si="9"/>
        <v>18.240964467005067</v>
      </c>
      <c r="T14" s="46">
        <v>73.716672541235098</v>
      </c>
      <c r="U14" s="52">
        <v>1.7060160000000002</v>
      </c>
      <c r="V14" s="52">
        <v>1.7277549999999999</v>
      </c>
      <c r="W14" s="52">
        <f t="shared" si="10"/>
        <v>0.021738999999999731</v>
      </c>
      <c r="X14" s="52">
        <f t="shared" si="11"/>
        <v>0.021738999999999731</v>
      </c>
      <c r="Y14" s="52">
        <f t="shared" si="21"/>
        <v>22.468841790568458</v>
      </c>
      <c r="Z14" s="52">
        <f t="shared" si="22"/>
        <v>0.51999367680000008</v>
      </c>
      <c r="AA14" s="52">
        <f t="shared" si="23"/>
        <v>0.52661972400000001</v>
      </c>
      <c r="AB14" s="52">
        <f t="shared" si="24"/>
        <v>0.006626047199999918</v>
      </c>
      <c r="AC14" s="52">
        <f t="shared" si="25"/>
        <v>0.006626047199999918</v>
      </c>
      <c r="AD14" s="52">
        <f t="shared" si="12"/>
        <v>1.274255341098778</v>
      </c>
      <c r="AE14" s="52">
        <f t="shared" si="19"/>
        <v>1.274255341098778</v>
      </c>
      <c r="AH14"/>
      <c r="AJ14" s="14">
        <v>1</v>
      </c>
      <c r="AK14" s="9">
        <v>38</v>
      </c>
      <c r="AL14" s="76">
        <f t="shared" si="20"/>
        <v>0.19095477386934673</v>
      </c>
      <c r="AM14" s="15">
        <v>0.79899497487437188</v>
      </c>
    </row>
    <row r="15">
      <c r="B15" s="46">
        <v>1007</v>
      </c>
      <c r="C15" s="46">
        <v>2204081.27</v>
      </c>
      <c r="D15" s="46">
        <v>6720708.8480000002</v>
      </c>
      <c r="E15" s="46">
        <v>126.21899999999999</v>
      </c>
      <c r="F15" s="46">
        <v>795</v>
      </c>
      <c r="G15" s="46">
        <v>82.616636866947829</v>
      </c>
      <c r="H15" s="46">
        <v>2.2000000000000002</v>
      </c>
      <c r="I15" s="46">
        <v>2.3448920000000002</v>
      </c>
      <c r="J15" s="46">
        <f t="shared" si="0"/>
        <v>0.14489200000000002</v>
      </c>
      <c r="K15" s="46">
        <f t="shared" si="1"/>
        <v>0.14489200000000002</v>
      </c>
      <c r="L15" s="51">
        <f t="shared" si="3"/>
        <v>25.181550917045701</v>
      </c>
      <c r="M15" s="51">
        <f t="shared" si="4"/>
        <v>0.67056000000000004</v>
      </c>
      <c r="N15" s="51">
        <f t="shared" si="5"/>
        <v>0.71472308160000009</v>
      </c>
      <c r="O15" s="51">
        <f t="shared" si="6"/>
        <v>0.044163081600000008</v>
      </c>
      <c r="P15" s="51">
        <f t="shared" si="7"/>
        <v>0.044163081600000008</v>
      </c>
      <c r="Q15" s="52">
        <f t="shared" si="8"/>
        <v>6.5860000000000003</v>
      </c>
      <c r="R15" s="52">
        <f t="shared" si="9"/>
        <v>6.5860000000000003</v>
      </c>
      <c r="T15" s="46">
        <v>82.616636866947829</v>
      </c>
      <c r="U15" s="52">
        <v>1.7060160000000002</v>
      </c>
      <c r="V15" s="52">
        <v>1.7921469999999999</v>
      </c>
      <c r="W15" s="52">
        <f t="shared" si="10"/>
        <v>0.086130999999999736</v>
      </c>
      <c r="X15" s="52">
        <f t="shared" si="11"/>
        <v>0.086130999999999736</v>
      </c>
      <c r="Y15" s="52">
        <f t="shared" si="21"/>
        <v>25.181550917045701</v>
      </c>
      <c r="Z15" s="52">
        <f t="shared" si="22"/>
        <v>0.51999367680000008</v>
      </c>
      <c r="AA15" s="52">
        <f t="shared" si="23"/>
        <v>0.54624640560000004</v>
      </c>
      <c r="AB15" s="52">
        <f t="shared" si="24"/>
        <v>0.02625272879999992</v>
      </c>
      <c r="AC15" s="52">
        <f t="shared" si="25"/>
        <v>0.02625272879999992</v>
      </c>
      <c r="AD15" s="52">
        <f t="shared" si="12"/>
        <v>5.0486630840507791</v>
      </c>
      <c r="AE15" s="52">
        <f t="shared" si="19"/>
        <v>5.0486630840507791</v>
      </c>
      <c r="AH15"/>
      <c r="AJ15" s="14">
        <v>1.25</v>
      </c>
      <c r="AK15" s="9">
        <v>23</v>
      </c>
      <c r="AL15" s="76">
        <f t="shared" si="20"/>
        <v>0.11557788944723618</v>
      </c>
      <c r="AM15" s="15">
        <v>0.914572864321608</v>
      </c>
    </row>
    <row r="16">
      <c r="B16" s="46">
        <v>1008</v>
      </c>
      <c r="C16" s="46">
        <v>2204075.449</v>
      </c>
      <c r="D16" s="46">
        <v>6720715.6050000004</v>
      </c>
      <c r="E16" s="46">
        <v>126.057</v>
      </c>
      <c r="F16" s="46">
        <v>795</v>
      </c>
      <c r="G16" s="46">
        <v>91.535218032294509</v>
      </c>
      <c r="H16" s="46">
        <v>2.1499999999999999</v>
      </c>
      <c r="I16" s="46">
        <v>2.3694959999999998</v>
      </c>
      <c r="J16" s="46">
        <f t="shared" si="0"/>
        <v>0.21949599999999991</v>
      </c>
      <c r="K16" s="46">
        <f t="shared" si="1"/>
        <v>0.21949599999999991</v>
      </c>
      <c r="L16" s="51">
        <f t="shared" si="3"/>
        <v>27.899934456243368</v>
      </c>
      <c r="M16" s="51">
        <f t="shared" si="4"/>
        <v>0.65532000000000001</v>
      </c>
      <c r="N16" s="51">
        <f t="shared" si="5"/>
        <v>0.72222238080000001</v>
      </c>
      <c r="O16" s="51">
        <f t="shared" si="6"/>
        <v>0.06690238079999998</v>
      </c>
      <c r="P16" s="51">
        <f t="shared" si="7"/>
        <v>0.06690238079999998</v>
      </c>
      <c r="Q16" s="52">
        <f t="shared" si="8"/>
        <v>10.209116279069763</v>
      </c>
      <c r="R16" s="52">
        <f t="shared" si="9"/>
        <v>10.209116279069763</v>
      </c>
      <c r="T16" s="46">
        <v>91.535218032294509</v>
      </c>
      <c r="U16" s="52">
        <v>1.7</v>
      </c>
      <c r="V16" s="52">
        <v>2.04949</v>
      </c>
      <c r="W16" s="52">
        <f t="shared" si="10"/>
        <v>0.34949000000000008</v>
      </c>
      <c r="X16" s="52">
        <f t="shared" si="11"/>
        <v>0.34949000000000008</v>
      </c>
      <c r="Y16" s="52">
        <f t="shared" si="21"/>
        <v>27.899934456243368</v>
      </c>
      <c r="Z16" s="52">
        <f t="shared" si="22"/>
        <v>0.51816000000000006</v>
      </c>
      <c r="AA16" s="52">
        <f t="shared" si="23"/>
        <v>0.62468455200000006</v>
      </c>
      <c r="AB16" s="52">
        <f t="shared" si="24"/>
        <v>0.10652455200000002</v>
      </c>
      <c r="AC16" s="52">
        <f t="shared" si="25"/>
        <v>0.10652455200000002</v>
      </c>
      <c r="AD16" s="52">
        <f t="shared" si="12"/>
        <v>20.558235294117651</v>
      </c>
      <c r="AE16" s="52">
        <f t="shared" si="19"/>
        <v>20.558235294117651</v>
      </c>
      <c r="AH16"/>
      <c r="AJ16" s="14">
        <v>1.5</v>
      </c>
      <c r="AK16" s="9">
        <v>14</v>
      </c>
      <c r="AL16" s="76">
        <f t="shared" si="20"/>
        <v>0.070351758793969849</v>
      </c>
      <c r="AM16" s="15">
        <v>0.98492462311557794</v>
      </c>
    </row>
    <row r="17">
      <c r="B17" s="46">
        <v>1009</v>
      </c>
      <c r="C17" s="46">
        <v>2204068.9380000001</v>
      </c>
      <c r="D17" s="46">
        <v>6720722.2529999996</v>
      </c>
      <c r="E17" s="46">
        <v>125.932</v>
      </c>
      <c r="F17" s="46">
        <v>795</v>
      </c>
      <c r="G17" s="46">
        <v>100.84054043334196</v>
      </c>
      <c r="H17" s="46">
        <v>2.3599999999999999</v>
      </c>
      <c r="I17" s="46">
        <v>2.417681</v>
      </c>
      <c r="J17" s="46">
        <f t="shared" si="0"/>
        <v>0.057681000000000093</v>
      </c>
      <c r="K17" s="46">
        <f t="shared" si="1"/>
        <v>0.057681000000000093</v>
      </c>
      <c r="L17" s="51">
        <f t="shared" si="3"/>
        <v>30.736196724082632</v>
      </c>
      <c r="M17" s="51">
        <f t="shared" si="4"/>
        <v>0.71932799999999997</v>
      </c>
      <c r="N17" s="51">
        <f t="shared" si="5"/>
        <v>0.73690916880000001</v>
      </c>
      <c r="O17" s="51">
        <f t="shared" si="6"/>
        <v>0.017581168800000029</v>
      </c>
      <c r="P17" s="51">
        <f t="shared" si="7"/>
        <v>0.017581168800000029</v>
      </c>
      <c r="Q17" s="52">
        <f t="shared" si="8"/>
        <v>2.4441101694915295</v>
      </c>
      <c r="R17" s="52">
        <f t="shared" si="9"/>
        <v>2.4441101694915295</v>
      </c>
      <c r="T17" s="46">
        <v>100.84054043334196</v>
      </c>
      <c r="U17" s="52">
        <v>2.0340959999999999</v>
      </c>
      <c r="V17" s="52">
        <v>2.4678499999999999</v>
      </c>
      <c r="W17" s="52">
        <f t="shared" si="10"/>
        <v>0.43375399999999997</v>
      </c>
      <c r="X17" s="52">
        <f t="shared" si="11"/>
        <v>0.43375399999999997</v>
      </c>
      <c r="Y17" s="52">
        <f t="shared" si="21"/>
        <v>30.736196724082632</v>
      </c>
      <c r="Z17" s="52">
        <f t="shared" si="22"/>
        <v>0.61999246080000003</v>
      </c>
      <c r="AA17" s="52">
        <f t="shared" si="23"/>
        <v>0.75220067999999995</v>
      </c>
      <c r="AB17" s="52">
        <f t="shared" si="24"/>
        <v>0.1322082192</v>
      </c>
      <c r="AC17" s="52">
        <f t="shared" si="25"/>
        <v>0.1322082192</v>
      </c>
      <c r="AD17" s="52">
        <f t="shared" si="12"/>
        <v>21.324165624434638</v>
      </c>
      <c r="AE17" s="52">
        <f t="shared" si="19"/>
        <v>21.324165624434638</v>
      </c>
      <c r="AH17"/>
      <c r="AJ17" s="14">
        <v>1.75</v>
      </c>
      <c r="AK17" s="9">
        <v>3</v>
      </c>
      <c r="AL17" s="76">
        <f t="shared" si="20"/>
        <v>0.01507537688442211</v>
      </c>
      <c r="AM17" s="15">
        <v>1</v>
      </c>
    </row>
    <row r="18">
      <c r="B18" s="46">
        <v>1010</v>
      </c>
      <c r="C18" s="46">
        <v>2204061.952</v>
      </c>
      <c r="D18" s="46">
        <v>6720728.8449999997</v>
      </c>
      <c r="E18" s="46">
        <v>125.73999999999999</v>
      </c>
      <c r="F18" s="46">
        <v>795</v>
      </c>
      <c r="G18" s="46">
        <v>110.44567760065122</v>
      </c>
      <c r="H18" s="46">
        <v>2.7400000000000002</v>
      </c>
      <c r="I18" s="46">
        <v>2.4717630000000002</v>
      </c>
      <c r="J18" s="46">
        <f t="shared" si="0"/>
        <v>-0.26823700000000006</v>
      </c>
      <c r="K18" s="46">
        <f t="shared" si="1"/>
        <v>0.26823700000000006</v>
      </c>
      <c r="L18" s="51">
        <f t="shared" si="3"/>
        <v>33.663842532678494</v>
      </c>
      <c r="M18" s="51">
        <f t="shared" si="4"/>
        <v>0.83515200000000012</v>
      </c>
      <c r="N18" s="51">
        <f t="shared" si="5"/>
        <v>0.7533933624000001</v>
      </c>
      <c r="O18" s="51">
        <f t="shared" si="6"/>
        <v>-0.081758637600000017</v>
      </c>
      <c r="P18" s="51">
        <f t="shared" si="7"/>
        <v>0.081758637600000017</v>
      </c>
      <c r="Q18" s="52">
        <f t="shared" si="8"/>
        <v>-9.7896715328467163</v>
      </c>
      <c r="R18" s="52">
        <f t="shared" si="9"/>
        <v>9.7896715328467163</v>
      </c>
      <c r="T18" s="46">
        <v>110.44567760065122</v>
      </c>
      <c r="U18" s="52">
        <v>2.2000000000000002</v>
      </c>
      <c r="V18" s="52">
        <v>2.3587020000000001</v>
      </c>
      <c r="W18" s="52">
        <f>V18-U18</f>
        <v>0.1587019999999999</v>
      </c>
      <c r="X18" s="52">
        <f t="shared" si="11"/>
        <v>0.1587019999999999</v>
      </c>
      <c r="Y18" s="52">
        <f t="shared" si="21"/>
        <v>33.663842532678494</v>
      </c>
      <c r="Z18" s="52">
        <f t="shared" si="22"/>
        <v>0.67056000000000004</v>
      </c>
      <c r="AA18" s="52">
        <f t="shared" si="23"/>
        <v>0.71893236960000007</v>
      </c>
      <c r="AB18" s="52">
        <f t="shared" si="24"/>
        <v>0.048372369599999972</v>
      </c>
      <c r="AC18" s="52">
        <f t="shared" si="25"/>
        <v>0.048372369599999972</v>
      </c>
      <c r="AD18" s="52">
        <f t="shared" si="12"/>
        <v>7.2137272727272679</v>
      </c>
      <c r="AE18" s="52">
        <f t="shared" si="19"/>
        <v>7.2137272727272679</v>
      </c>
      <c r="AH18"/>
      <c r="AJ18" s="14">
        <v>2</v>
      </c>
      <c r="AK18" s="9">
        <v>0</v>
      </c>
      <c r="AL18" s="76">
        <f t="shared" si="20"/>
        <v>0</v>
      </c>
      <c r="AM18" s="15">
        <v>1</v>
      </c>
    </row>
    <row r="19">
      <c r="B19" s="46">
        <v>1011</v>
      </c>
      <c r="C19" s="46">
        <v>2204055.9339999999</v>
      </c>
      <c r="D19" s="46">
        <v>6720736.2829999998</v>
      </c>
      <c r="E19" s="46">
        <v>125.64100000000001</v>
      </c>
      <c r="F19" s="46">
        <v>795</v>
      </c>
      <c r="G19" s="46">
        <v>120.01334022028317</v>
      </c>
      <c r="H19" s="46">
        <v>2.6899999999999999</v>
      </c>
      <c r="I19" s="46">
        <v>2.522589</v>
      </c>
      <c r="J19" s="46">
        <f t="shared" si="0"/>
        <v>-0.16741099999999998</v>
      </c>
      <c r="K19" s="46">
        <f t="shared" si="1"/>
        <v>0.16741099999999998</v>
      </c>
      <c r="L19" s="51">
        <f t="shared" si="3"/>
        <v>36.580066099142314</v>
      </c>
      <c r="M19" s="51">
        <f t="shared" si="4"/>
        <v>0.81991199999999997</v>
      </c>
      <c r="N19" s="51">
        <f t="shared" si="5"/>
        <v>0.76888512720000002</v>
      </c>
      <c r="O19" s="51">
        <f t="shared" si="6"/>
        <v>-0.051026872799999998</v>
      </c>
      <c r="P19" s="51">
        <f t="shared" si="7"/>
        <v>0.051026872799999998</v>
      </c>
      <c r="Q19" s="52">
        <f t="shared" si="8"/>
        <v>-6.2234572490706306</v>
      </c>
      <c r="R19" s="52">
        <f t="shared" si="9"/>
        <v>6.2234572490706306</v>
      </c>
      <c r="T19" s="46">
        <v>120.01334022028317</v>
      </c>
      <c r="U19" s="52">
        <v>2.2965599999999999</v>
      </c>
      <c r="V19" s="52">
        <v>2.9182299999999999</v>
      </c>
      <c r="W19" s="52">
        <f t="shared" si="10"/>
        <v>0.62166999999999994</v>
      </c>
      <c r="X19" s="52">
        <f t="shared" si="11"/>
        <v>0.62166999999999994</v>
      </c>
      <c r="Y19" s="52">
        <f t="shared" si="21"/>
        <v>36.580066099142314</v>
      </c>
      <c r="Z19" s="52">
        <f t="shared" si="22"/>
        <v>0.699991488</v>
      </c>
      <c r="AA19" s="52">
        <f t="shared" si="23"/>
        <v>0.889476504</v>
      </c>
      <c r="AB19" s="52">
        <f t="shared" si="24"/>
        <v>0.18948501600000001</v>
      </c>
      <c r="AC19" s="52">
        <f t="shared" si="25"/>
        <v>0.18948501600000001</v>
      </c>
      <c r="AD19" s="52">
        <f t="shared" si="12"/>
        <v>27.069617166544745</v>
      </c>
      <c r="AE19" s="52">
        <f t="shared" si="19"/>
        <v>27.069617166544745</v>
      </c>
      <c r="AH19"/>
      <c r="AJ19" s="14">
        <v>2.25</v>
      </c>
      <c r="AK19" s="9">
        <v>0</v>
      </c>
      <c r="AL19" s="76">
        <f t="shared" si="20"/>
        <v>0</v>
      </c>
      <c r="AM19" s="15">
        <v>1</v>
      </c>
    </row>
    <row r="20">
      <c r="B20" s="46">
        <v>1012</v>
      </c>
      <c r="C20" s="46">
        <v>2204049.2259999998</v>
      </c>
      <c r="D20" s="46">
        <v>6720742.79</v>
      </c>
      <c r="E20" s="46">
        <v>125.376</v>
      </c>
      <c r="F20" s="46">
        <v>795</v>
      </c>
      <c r="G20" s="46">
        <v>129.35883715753383</v>
      </c>
      <c r="H20" s="46">
        <v>2.6200000000000001</v>
      </c>
      <c r="I20" s="46">
        <v>2.6389779999999998</v>
      </c>
      <c r="J20" s="46">
        <f t="shared" si="0"/>
        <v>0.018977999999999717</v>
      </c>
      <c r="K20" s="46">
        <f t="shared" si="1"/>
        <v>0.018977999999999717</v>
      </c>
      <c r="L20" s="51">
        <f t="shared" si="3"/>
        <v>39.428573565616311</v>
      </c>
      <c r="M20" s="51">
        <f t="shared" si="4"/>
        <v>0.79857600000000006</v>
      </c>
      <c r="N20" s="51">
        <f t="shared" si="5"/>
        <v>0.80436049440000001</v>
      </c>
      <c r="O20" s="51">
        <f t="shared" si="6"/>
        <v>0.0057844943999999145</v>
      </c>
      <c r="P20" s="51">
        <f t="shared" si="7"/>
        <v>0.0057844943999999145</v>
      </c>
      <c r="Q20" s="52">
        <f t="shared" si="8"/>
        <v>0.72435114503815712</v>
      </c>
      <c r="R20" s="52">
        <f t="shared" si="9"/>
        <v>0.72435114503815712</v>
      </c>
      <c r="T20" s="46">
        <v>129.35883715753383</v>
      </c>
      <c r="U20" s="52">
        <v>2.5918320000000001</v>
      </c>
      <c r="V20" s="52">
        <v>3.312017</v>
      </c>
      <c r="W20" s="52">
        <f t="shared" si="10"/>
        <v>0.72018499999999985</v>
      </c>
      <c r="X20" s="52">
        <f t="shared" si="11"/>
        <v>0.72018499999999985</v>
      </c>
      <c r="Y20" s="52">
        <f t="shared" si="21"/>
        <v>39.428573565616311</v>
      </c>
      <c r="Z20" s="52">
        <f t="shared" si="22"/>
        <v>0.78999039360000012</v>
      </c>
      <c r="AA20" s="52">
        <f t="shared" si="23"/>
        <v>1.0095027816</v>
      </c>
      <c r="AB20" s="52">
        <f t="shared" si="24"/>
        <v>0.21951238799999997</v>
      </c>
      <c r="AC20" s="52">
        <f t="shared" si="25"/>
        <v>0.21951238799999997</v>
      </c>
      <c r="AD20" s="52">
        <f t="shared" si="12"/>
        <v>27.786716114316047</v>
      </c>
      <c r="AE20" s="52">
        <f t="shared" si="19"/>
        <v>27.786716114316047</v>
      </c>
      <c r="AJ20" s="14">
        <v>2.5</v>
      </c>
      <c r="AK20" s="9">
        <v>0</v>
      </c>
      <c r="AL20" s="76">
        <f t="shared" si="20"/>
        <v>0</v>
      </c>
      <c r="AM20" s="15">
        <v>1</v>
      </c>
    </row>
    <row r="21" ht="15.75">
      <c r="B21" s="46">
        <v>1013</v>
      </c>
      <c r="C21" s="46">
        <v>2204041.8870000001</v>
      </c>
      <c r="D21" s="46">
        <v>6720750.2460000003</v>
      </c>
      <c r="E21" s="46">
        <v>125.154</v>
      </c>
      <c r="F21" s="46">
        <v>795</v>
      </c>
      <c r="G21" s="46">
        <v>139.82080910353721</v>
      </c>
      <c r="H21" s="46">
        <v>2.9500000000000002</v>
      </c>
      <c r="I21" s="46">
        <v>2.6616689999999998</v>
      </c>
      <c r="J21" s="46">
        <f t="shared" si="0"/>
        <v>-0.28833100000000034</v>
      </c>
      <c r="K21" s="46">
        <f t="shared" si="1"/>
        <v>0.28833100000000034</v>
      </c>
      <c r="L21" s="51">
        <f t="shared" si="3"/>
        <v>42.617382614758142</v>
      </c>
      <c r="M21" s="51">
        <f t="shared" si="4"/>
        <v>0.89916000000000007</v>
      </c>
      <c r="N21" s="51">
        <f t="shared" si="5"/>
        <v>0.8112767112</v>
      </c>
      <c r="O21" s="51">
        <f t="shared" si="6"/>
        <v>-0.087883288800000112</v>
      </c>
      <c r="P21" s="51">
        <f t="shared" si="7"/>
        <v>0.087883288800000112</v>
      </c>
      <c r="Q21" s="52">
        <f t="shared" si="8"/>
        <v>-9.7739322033898421</v>
      </c>
      <c r="R21" s="52">
        <f t="shared" si="9"/>
        <v>9.7739322033898421</v>
      </c>
      <c r="T21" s="46">
        <v>139.82080910353721</v>
      </c>
      <c r="U21" s="52">
        <v>2.7558720000000001</v>
      </c>
      <c r="V21" s="52">
        <v>2.9796200000000002</v>
      </c>
      <c r="W21" s="52">
        <f t="shared" si="10"/>
        <v>0.22374800000000006</v>
      </c>
      <c r="X21" s="52">
        <f t="shared" si="11"/>
        <v>0.22374800000000006</v>
      </c>
      <c r="Y21" s="52">
        <f t="shared" si="21"/>
        <v>42.617382614758142</v>
      </c>
      <c r="Z21" s="52">
        <f t="shared" si="22"/>
        <v>0.83998978560000004</v>
      </c>
      <c r="AA21" s="52">
        <f t="shared" si="23"/>
        <v>0.90818817600000012</v>
      </c>
      <c r="AB21" s="52">
        <f t="shared" si="24"/>
        <v>0.068198390400000017</v>
      </c>
      <c r="AC21" s="52">
        <f t="shared" si="25"/>
        <v>0.068198390400000017</v>
      </c>
      <c r="AD21" s="52">
        <f t="shared" si="12"/>
        <v>8.118954726489477</v>
      </c>
      <c r="AE21" s="52">
        <f t="shared" si="19"/>
        <v>8.118954726489477</v>
      </c>
      <c r="AJ21" s="10"/>
      <c r="AK21" s="10"/>
      <c r="AL21" s="10"/>
      <c r="AM21" s="16"/>
    </row>
    <row r="22">
      <c r="B22" s="46">
        <v>1014</v>
      </c>
      <c r="C22" s="46">
        <v>2204034.375</v>
      </c>
      <c r="D22" s="46">
        <v>6720758.1550000003</v>
      </c>
      <c r="E22" s="46">
        <v>125.13</v>
      </c>
      <c r="F22" s="46">
        <v>795</v>
      </c>
      <c r="G22" s="46">
        <v>150.72871563968482</v>
      </c>
      <c r="H22" s="46">
        <v>2.9100000000000001</v>
      </c>
      <c r="I22" s="46">
        <v>2.5703930000000001</v>
      </c>
      <c r="J22" s="46">
        <f t="shared" si="0"/>
        <v>-0.33960699999999999</v>
      </c>
      <c r="K22" s="46">
        <f t="shared" si="1"/>
        <v>0.33960699999999999</v>
      </c>
      <c r="L22" s="51">
        <f t="shared" si="3"/>
        <v>45.942112526975933</v>
      </c>
      <c r="M22" s="51">
        <f t="shared" si="4"/>
        <v>0.88696800000000009</v>
      </c>
      <c r="N22" s="51">
        <f t="shared" si="5"/>
        <v>0.78345578640000013</v>
      </c>
      <c r="O22" s="51">
        <f t="shared" si="6"/>
        <v>-0.1035122136</v>
      </c>
      <c r="P22" s="51">
        <f t="shared" si="7"/>
        <v>0.1035122136</v>
      </c>
      <c r="Q22" s="52">
        <f t="shared" si="8"/>
        <v>-11.670343642611684</v>
      </c>
      <c r="R22" s="52">
        <f t="shared" si="9"/>
        <v>11.670343642611684</v>
      </c>
      <c r="T22" s="46">
        <v>150.72871563968482</v>
      </c>
      <c r="U22" s="52">
        <v>2.7000000000000002</v>
      </c>
      <c r="V22" s="52">
        <v>2.9233039999999999</v>
      </c>
      <c r="W22" s="52">
        <f t="shared" si="10"/>
        <v>0.22330399999999972</v>
      </c>
      <c r="X22" s="52">
        <f t="shared" si="11"/>
        <v>0.22330399999999972</v>
      </c>
      <c r="Y22" s="52">
        <f t="shared" si="21"/>
        <v>45.942112526975933</v>
      </c>
      <c r="Z22" s="52">
        <f t="shared" si="22"/>
        <v>0.82296000000000014</v>
      </c>
      <c r="AA22" s="52">
        <f t="shared" si="23"/>
        <v>0.89102305920000002</v>
      </c>
      <c r="AB22" s="52">
        <f t="shared" si="24"/>
        <v>0.068063059199999915</v>
      </c>
      <c r="AC22" s="52">
        <f t="shared" si="25"/>
        <v>0.068063059199999915</v>
      </c>
      <c r="AD22" s="52">
        <f t="shared" si="12"/>
        <v>8.2705185185185073</v>
      </c>
      <c r="AE22" s="52">
        <f t="shared" si="19"/>
        <v>8.2705185185185073</v>
      </c>
      <c r="AK22" s="46">
        <f>SUM(AK11:AK20)</f>
        <v>199</v>
      </c>
    </row>
    <row r="23">
      <c r="B23" s="46">
        <v>1015</v>
      </c>
      <c r="C23" s="46">
        <v>2204026.858</v>
      </c>
      <c r="D23" s="46">
        <v>6720766.7659999998</v>
      </c>
      <c r="E23" s="46">
        <v>125.53100000000001</v>
      </c>
      <c r="F23" s="46">
        <v>795</v>
      </c>
      <c r="G23" s="46">
        <v>162.15914039086732</v>
      </c>
      <c r="H23" s="46">
        <v>2.5299999999999998</v>
      </c>
      <c r="I23" s="46">
        <v>2.2857750000000001</v>
      </c>
      <c r="J23" s="46">
        <f t="shared" si="0"/>
        <v>-0.24422499999999969</v>
      </c>
      <c r="K23" s="46">
        <f t="shared" si="1"/>
        <v>0.24422499999999969</v>
      </c>
      <c r="L23" s="51">
        <f t="shared" si="3"/>
        <v>49.42610599113636</v>
      </c>
      <c r="M23" s="51">
        <f t="shared" si="4"/>
        <v>0.77114399999999994</v>
      </c>
      <c r="N23" s="51">
        <f t="shared" si="5"/>
        <v>0.6967042200000001</v>
      </c>
      <c r="O23" s="51">
        <f t="shared" si="6"/>
        <v>-0.074439779999999914</v>
      </c>
      <c r="P23" s="51">
        <f t="shared" si="7"/>
        <v>0.074439779999999914</v>
      </c>
      <c r="Q23" s="52">
        <f t="shared" si="8"/>
        <v>-9.6531620553359581</v>
      </c>
      <c r="R23" s="52">
        <f t="shared" si="9"/>
        <v>9.6531620553359581</v>
      </c>
      <c r="T23" s="46">
        <v>162.15914039086732</v>
      </c>
      <c r="U23" s="52">
        <v>2.394984</v>
      </c>
      <c r="V23" s="52">
        <v>2.2952569999999999</v>
      </c>
      <c r="W23" s="52">
        <f t="shared" si="10"/>
        <v>-0.099727000000000121</v>
      </c>
      <c r="X23" s="52">
        <f t="shared" si="11"/>
        <v>0.099727000000000121</v>
      </c>
      <c r="Y23" s="52">
        <f t="shared" si="21"/>
        <v>49.42610599113636</v>
      </c>
      <c r="Z23" s="52">
        <f t="shared" si="22"/>
        <v>0.72999112320000004</v>
      </c>
      <c r="AA23" s="52">
        <f t="shared" si="23"/>
        <v>0.69959433360000001</v>
      </c>
      <c r="AB23" s="52">
        <f t="shared" si="24"/>
        <v>-0.03039678960000004</v>
      </c>
      <c r="AC23" s="52">
        <f t="shared" si="25"/>
        <v>0.03039678960000004</v>
      </c>
      <c r="AD23" s="52">
        <f t="shared" si="12"/>
        <v>-4.1639944149940096</v>
      </c>
      <c r="AE23" s="52">
        <f t="shared" si="19"/>
        <v>4.1639944149940096</v>
      </c>
    </row>
    <row r="24">
      <c r="B24" s="46">
        <v>1016</v>
      </c>
      <c r="C24" s="46">
        <v>2204021.014</v>
      </c>
      <c r="D24" s="46">
        <v>6720773.3260000004</v>
      </c>
      <c r="E24" s="46">
        <v>125.991</v>
      </c>
      <c r="F24" s="46">
        <v>795</v>
      </c>
      <c r="G24" s="46">
        <v>170.9446930773704</v>
      </c>
      <c r="H24" s="46">
        <v>1.98</v>
      </c>
      <c r="I24" s="46">
        <v>1.9373320000000001</v>
      </c>
      <c r="J24" s="46">
        <f t="shared" si="0"/>
        <v>-0.042667999999999928</v>
      </c>
      <c r="K24" s="46">
        <f t="shared" si="1"/>
        <v>0.042667999999999928</v>
      </c>
      <c r="L24" s="51">
        <f t="shared" si="3"/>
        <v>52.103942449982505</v>
      </c>
      <c r="M24" s="51">
        <f t="shared" si="4"/>
        <v>0.60350400000000004</v>
      </c>
      <c r="N24" s="51">
        <f t="shared" si="5"/>
        <v>0.59049879360000002</v>
      </c>
      <c r="O24" s="51">
        <f t="shared" si="6"/>
        <v>-0.013005206399999979</v>
      </c>
      <c r="P24" s="51">
        <f t="shared" si="7"/>
        <v>0.013005206399999979</v>
      </c>
      <c r="Q24" s="52">
        <f t="shared" si="8"/>
        <v>-2.1549494949494914</v>
      </c>
      <c r="R24" s="52">
        <f t="shared" si="9"/>
        <v>2.1549494949494914</v>
      </c>
      <c r="T24" s="46">
        <v>170.9446930773704</v>
      </c>
      <c r="U24" s="52">
        <v>1.75</v>
      </c>
      <c r="V24" s="52">
        <v>1.8016840000000001</v>
      </c>
      <c r="W24" s="52">
        <f t="shared" si="10"/>
        <v>0.051684000000000063</v>
      </c>
      <c r="X24" s="52">
        <f t="shared" si="11"/>
        <v>0.051684000000000063</v>
      </c>
      <c r="Y24" s="52">
        <f t="shared" si="21"/>
        <v>52.103942449982505</v>
      </c>
      <c r="Z24" s="52">
        <f t="shared" si="22"/>
        <v>0.53339999999999999</v>
      </c>
      <c r="AA24" s="52">
        <f t="shared" si="23"/>
        <v>0.54915328320000001</v>
      </c>
      <c r="AB24" s="52">
        <f t="shared" si="24"/>
        <v>0.01575328320000002</v>
      </c>
      <c r="AC24" s="52">
        <f t="shared" si="25"/>
        <v>0.01575328320000002</v>
      </c>
      <c r="AD24" s="52">
        <f t="shared" si="12"/>
        <v>2.9533714285714323</v>
      </c>
      <c r="AE24" s="52">
        <f t="shared" si="19"/>
        <v>2.9533714285714323</v>
      </c>
    </row>
    <row r="25">
      <c r="B25" s="46">
        <v>1017</v>
      </c>
      <c r="C25" s="46">
        <v>2204014.8640000001</v>
      </c>
      <c r="D25" s="46">
        <v>6720780.9560000002</v>
      </c>
      <c r="E25" s="46">
        <v>126.66</v>
      </c>
      <c r="F25" s="46">
        <v>795</v>
      </c>
      <c r="G25" s="46">
        <v>180.74466246493225</v>
      </c>
      <c r="H25" s="46">
        <v>1.1100000000000001</v>
      </c>
      <c r="I25" s="46">
        <v>1.463214</v>
      </c>
      <c r="J25" s="46">
        <f t="shared" si="0"/>
        <v>0.35321399999999992</v>
      </c>
      <c r="K25" s="46">
        <f t="shared" si="1"/>
        <v>0.35321399999999992</v>
      </c>
      <c r="L25" s="51">
        <f t="shared" si="3"/>
        <v>55.09097311931135</v>
      </c>
      <c r="M25" s="51">
        <f t="shared" si="4"/>
        <v>0.33832800000000007</v>
      </c>
      <c r="N25" s="51">
        <f t="shared" si="5"/>
        <v>0.44598762720000001</v>
      </c>
      <c r="O25" s="51">
        <f t="shared" si="6"/>
        <v>0.10765962719999998</v>
      </c>
      <c r="P25" s="51">
        <f t="shared" si="7"/>
        <v>0.10765962719999998</v>
      </c>
      <c r="Q25" s="52">
        <f t="shared" si="8"/>
        <v>31.821081081081068</v>
      </c>
      <c r="R25" s="52">
        <f t="shared" si="9"/>
        <v>31.821081081081068</v>
      </c>
      <c r="T25" s="46">
        <v>180.74466246493225</v>
      </c>
      <c r="U25" s="52">
        <v>1.1499999999999999</v>
      </c>
      <c r="V25" s="52">
        <v>1.2494700000000001</v>
      </c>
      <c r="W25" s="52">
        <f t="shared" si="10"/>
        <v>0.099470000000000169</v>
      </c>
      <c r="X25" s="52">
        <f t="shared" si="11"/>
        <v>0.099470000000000169</v>
      </c>
      <c r="Y25" s="52">
        <f t="shared" si="21"/>
        <v>55.09097311931135</v>
      </c>
      <c r="Z25" s="52">
        <f t="shared" si="22"/>
        <v>0.35052</v>
      </c>
      <c r="AA25" s="52">
        <f t="shared" si="23"/>
        <v>0.38083845600000005</v>
      </c>
      <c r="AB25" s="52">
        <f t="shared" si="24"/>
        <v>0.030318456000000053</v>
      </c>
      <c r="AC25" s="52">
        <f t="shared" si="25"/>
        <v>0.030318456000000053</v>
      </c>
      <c r="AD25" s="52">
        <f t="shared" si="12"/>
        <v>8.64956521739132</v>
      </c>
      <c r="AE25" s="52">
        <f t="shared" si="19"/>
        <v>8.64956521739132</v>
      </c>
    </row>
    <row r="26">
      <c r="B26" s="46">
        <v>1018</v>
      </c>
      <c r="C26" s="46">
        <v>2204008.6639999999</v>
      </c>
      <c r="D26" s="46">
        <v>6720788.2889999999</v>
      </c>
      <c r="E26" s="46">
        <v>127.255</v>
      </c>
      <c r="F26" s="46">
        <v>795</v>
      </c>
      <c r="G26" s="46">
        <v>190.34741670509456</v>
      </c>
      <c r="H26" s="46">
        <v>0.46000000000000002</v>
      </c>
      <c r="I26" s="46">
        <v>0.89347100000000002</v>
      </c>
      <c r="J26" s="46">
        <f t="shared" si="0"/>
        <v>0.433471</v>
      </c>
      <c r="K26" s="46">
        <f t="shared" si="1"/>
        <v>0.433471</v>
      </c>
      <c r="L26" s="51">
        <f t="shared" si="3"/>
        <v>58.017892611712824</v>
      </c>
      <c r="M26" s="51">
        <f t="shared" si="4"/>
        <v>0.140208</v>
      </c>
      <c r="N26" s="51">
        <f t="shared" si="5"/>
        <v>0.27232996079999999</v>
      </c>
      <c r="O26" s="51">
        <f t="shared" si="6"/>
        <v>0.13212196079999999</v>
      </c>
      <c r="P26" s="51">
        <f t="shared" si="7"/>
        <v>0.13212196079999999</v>
      </c>
      <c r="Q26" s="52">
        <f t="shared" si="8"/>
        <v>94.232826086956507</v>
      </c>
      <c r="R26" s="52">
        <f t="shared" si="9"/>
        <v>94.232826086956507</v>
      </c>
      <c r="T26" s="46">
        <v>190.34741670509456</v>
      </c>
      <c r="U26" s="52">
        <v>0.62335200000000002</v>
      </c>
      <c r="V26" s="52">
        <v>0.70343599999999995</v>
      </c>
      <c r="W26" s="52">
        <f t="shared" si="10"/>
        <v>0.080083999999999933</v>
      </c>
      <c r="X26" s="52">
        <f t="shared" si="11"/>
        <v>0.080083999999999933</v>
      </c>
      <c r="Y26" s="52">
        <f t="shared" si="21"/>
        <v>58.017892611712824</v>
      </c>
      <c r="Z26" s="52">
        <f t="shared" si="22"/>
        <v>0.18999768960000002</v>
      </c>
      <c r="AA26" s="52">
        <f t="shared" si="23"/>
        <v>0.21440729279999998</v>
      </c>
      <c r="AB26" s="52">
        <f t="shared" si="24"/>
        <v>0.02440960319999998</v>
      </c>
      <c r="AC26" s="52">
        <f t="shared" si="25"/>
        <v>0.02440960319999998</v>
      </c>
      <c r="AD26" s="52">
        <f t="shared" si="12"/>
        <v>12.847315802307513</v>
      </c>
      <c r="AE26" s="52">
        <f t="shared" si="19"/>
        <v>12.847315802307513</v>
      </c>
    </row>
    <row r="27" s="72" customFormat="1">
      <c r="A27" s="75" t="s">
        <v>38</v>
      </c>
      <c r="B27" s="72">
        <v>1019</v>
      </c>
      <c r="C27" s="72">
        <v>2204483.8590000002</v>
      </c>
      <c r="D27" s="72">
        <v>6722002.5580000002</v>
      </c>
      <c r="E27" s="72">
        <v>130.73099999999999</v>
      </c>
      <c r="F27" s="72">
        <v>795</v>
      </c>
      <c r="G27" s="74">
        <v>5.8108010637132246</v>
      </c>
      <c r="H27" s="72">
        <v>0.84999999999999998</v>
      </c>
      <c r="I27" s="72">
        <v>0.79141499999999998</v>
      </c>
      <c r="J27" s="72">
        <f>I27-H27</f>
        <v>-0.058584999999999998</v>
      </c>
      <c r="K27" s="72">
        <f>ABS(J27)</f>
        <v>0.058584999999999998</v>
      </c>
      <c r="L27" s="73">
        <f t="shared" si="3"/>
        <v>1.771132164219791</v>
      </c>
      <c r="M27" s="73">
        <f t="shared" si="4"/>
        <v>0.25908000000000003</v>
      </c>
      <c r="N27" s="73">
        <f t="shared" si="5"/>
        <v>0.24122329200000001</v>
      </c>
      <c r="O27" s="73">
        <f t="shared" si="6"/>
        <v>-0.017856707999999999</v>
      </c>
      <c r="P27" s="73">
        <f t="shared" si="7"/>
        <v>0.017856707999999999</v>
      </c>
      <c r="Q27" s="74">
        <f t="shared" ref="Q27:Q35" si="26">100*J27/H27</f>
        <v>-6.8923529411764699</v>
      </c>
      <c r="R27" s="74">
        <f t="shared" ref="R27:R35" si="27">ABS(Q27)</f>
        <v>6.8923529411764699</v>
      </c>
      <c r="T27" s="74">
        <v>5.8108010637132246</v>
      </c>
      <c r="U27" s="74">
        <v>0.59054399999999996</v>
      </c>
      <c r="V27" s="74">
        <v>0.63334999999999997</v>
      </c>
      <c r="W27" s="74">
        <f>V27-U27</f>
        <v>0.042806000000000011</v>
      </c>
      <c r="X27" s="74">
        <f>ABS(W27)</f>
        <v>0.042806000000000011</v>
      </c>
      <c r="Y27" s="74">
        <f t="shared" si="21"/>
        <v>1.771132164219791</v>
      </c>
      <c r="Z27" s="74">
        <f t="shared" si="22"/>
        <v>0.1799978112</v>
      </c>
      <c r="AA27" s="74">
        <f t="shared" si="23"/>
        <v>0.19304508000000001</v>
      </c>
      <c r="AB27" s="74">
        <f t="shared" si="24"/>
        <v>0.013047268800000004</v>
      </c>
      <c r="AC27" s="74">
        <f t="shared" si="25"/>
        <v>0.013047268800000004</v>
      </c>
      <c r="AD27" s="74">
        <f t="shared" ref="AD27:AD35" si="28">100*W27/U27</f>
        <v>7.2485708092877106</v>
      </c>
      <c r="AE27" s="74">
        <f t="shared" ref="AE27:AE35" si="29">ABS(AD27)</f>
        <v>7.2485708092877106</v>
      </c>
      <c r="AG27" s="73"/>
      <c r="AH27" s="74"/>
    </row>
    <row r="28">
      <c r="B28" s="46">
        <v>1020</v>
      </c>
      <c r="C28" s="46">
        <v>2204488.6639999999</v>
      </c>
      <c r="D28" s="46">
        <v>6722001.3959999997</v>
      </c>
      <c r="E28" s="46">
        <v>130.41999999999999</v>
      </c>
      <c r="F28" s="46">
        <v>795</v>
      </c>
      <c r="G28" s="52">
        <v>10.754308826248261</v>
      </c>
      <c r="H28" s="46">
        <v>1.3799999999999999</v>
      </c>
      <c r="I28" s="46">
        <v>0.96745499999999995</v>
      </c>
      <c r="J28" s="46">
        <f t="shared" ref="J28:J35" si="30">I28-H28</f>
        <v>-0.41254499999999994</v>
      </c>
      <c r="K28" s="46">
        <f t="shared" ref="K28:K35" si="31">ABS(J28)</f>
        <v>0.41254499999999994</v>
      </c>
      <c r="L28" s="51">
        <f t="shared" si="3"/>
        <v>3.2779133302404699</v>
      </c>
      <c r="M28" s="51">
        <f t="shared" si="4"/>
        <v>0.420624</v>
      </c>
      <c r="N28" s="51">
        <f t="shared" si="5"/>
        <v>0.29488028399999999</v>
      </c>
      <c r="O28" s="51">
        <f t="shared" si="6"/>
        <v>-0.12574371599999998</v>
      </c>
      <c r="P28" s="51">
        <f t="shared" si="7"/>
        <v>0.12574371599999998</v>
      </c>
      <c r="Q28" s="52">
        <f t="shared" si="26"/>
        <v>-29.894565217391303</v>
      </c>
      <c r="R28" s="52">
        <f t="shared" si="27"/>
        <v>29.894565217391303</v>
      </c>
      <c r="T28" s="52">
        <v>10.754308826248261</v>
      </c>
      <c r="U28" s="52">
        <v>1.05</v>
      </c>
      <c r="V28" s="52">
        <v>0.87918600000000002</v>
      </c>
      <c r="W28" s="52">
        <f t="shared" ref="W28:W35" si="32">V28-U28</f>
        <v>-0.17081400000000002</v>
      </c>
      <c r="X28" s="52">
        <f t="shared" ref="X28:X35" si="33">ABS(W28)</f>
        <v>0.17081400000000002</v>
      </c>
      <c r="Y28" s="52">
        <f t="shared" si="21"/>
        <v>3.2779133302404699</v>
      </c>
      <c r="Z28" s="52">
        <f t="shared" si="22"/>
        <v>0.32004000000000005</v>
      </c>
      <c r="AA28" s="52">
        <f t="shared" si="23"/>
        <v>0.2679758928</v>
      </c>
      <c r="AB28" s="52">
        <f t="shared" si="24"/>
        <v>-0.052064107200000008</v>
      </c>
      <c r="AC28" s="52">
        <f t="shared" si="25"/>
        <v>0.052064107200000008</v>
      </c>
      <c r="AD28" s="52">
        <f t="shared" si="28"/>
        <v>-16.268000000000001</v>
      </c>
      <c r="AE28" s="52">
        <f t="shared" si="29"/>
        <v>16.268000000000001</v>
      </c>
    </row>
    <row r="29">
      <c r="B29" s="46">
        <v>1021</v>
      </c>
      <c r="C29" s="46">
        <v>2204497.102</v>
      </c>
      <c r="D29" s="46">
        <v>6722000.2489999998</v>
      </c>
      <c r="E29" s="46">
        <v>130.19300000000001</v>
      </c>
      <c r="F29" s="46">
        <v>795</v>
      </c>
      <c r="G29" s="52">
        <v>19.269909392333403</v>
      </c>
      <c r="H29" s="46">
        <v>1.21</v>
      </c>
      <c r="I29" s="46">
        <v>1.19658</v>
      </c>
      <c r="J29" s="46">
        <f t="shared" si="30"/>
        <v>-0.013419999999999987</v>
      </c>
      <c r="K29" s="46">
        <f t="shared" si="31"/>
        <v>0.013419999999999987</v>
      </c>
      <c r="L29" s="51">
        <f t="shared" si="3"/>
        <v>5.8734683827832219</v>
      </c>
      <c r="M29" s="51">
        <f t="shared" si="4"/>
        <v>0.36880800000000002</v>
      </c>
      <c r="N29" s="51">
        <f t="shared" si="5"/>
        <v>0.36471758400000004</v>
      </c>
      <c r="O29" s="51">
        <f t="shared" si="6"/>
        <v>-0.004090415999999996</v>
      </c>
      <c r="P29" s="51">
        <f t="shared" si="7"/>
        <v>0.004090415999999996</v>
      </c>
      <c r="Q29" s="52">
        <f t="shared" si="26"/>
        <v>-1.109090909090908</v>
      </c>
      <c r="R29" s="52">
        <f t="shared" si="27"/>
        <v>1.109090909090908</v>
      </c>
      <c r="T29" s="52">
        <v>19.269909392333403</v>
      </c>
      <c r="U29" s="52">
        <v>1.410744</v>
      </c>
      <c r="V29" s="52">
        <v>1.2206399999999999</v>
      </c>
      <c r="W29" s="52">
        <f t="shared" si="32"/>
        <v>-0.19010400000000005</v>
      </c>
      <c r="X29" s="52">
        <f t="shared" si="33"/>
        <v>0.19010400000000005</v>
      </c>
      <c r="Y29" s="52">
        <f t="shared" si="21"/>
        <v>5.8734683827832219</v>
      </c>
      <c r="Z29" s="52">
        <f t="shared" si="22"/>
        <v>0.42999477120000001</v>
      </c>
      <c r="AA29" s="52">
        <f t="shared" si="23"/>
        <v>0.37205107199999998</v>
      </c>
      <c r="AB29" s="52">
        <f t="shared" si="24"/>
        <v>-0.057943699200000018</v>
      </c>
      <c r="AC29" s="52">
        <f t="shared" si="25"/>
        <v>0.057943699200000018</v>
      </c>
      <c r="AD29" s="52">
        <f t="shared" si="28"/>
        <v>-13.475442745104713</v>
      </c>
      <c r="AE29" s="52">
        <f t="shared" si="29"/>
        <v>13.475442745104713</v>
      </c>
    </row>
    <row r="30">
      <c r="B30" s="46">
        <v>1022</v>
      </c>
      <c r="C30" s="46">
        <v>2204502.7689999999</v>
      </c>
      <c r="D30" s="46">
        <v>6721999.7609999999</v>
      </c>
      <c r="E30" s="46">
        <v>130.09700000000001</v>
      </c>
      <c r="F30" s="46">
        <v>795</v>
      </c>
      <c r="G30" s="52">
        <v>24.957882053902566</v>
      </c>
      <c r="H30" s="46">
        <v>1.49</v>
      </c>
      <c r="I30" s="46">
        <v>1.321453</v>
      </c>
      <c r="J30" s="46">
        <f t="shared" si="30"/>
        <v>-0.168547</v>
      </c>
      <c r="K30" s="46">
        <f t="shared" si="31"/>
        <v>0.168547</v>
      </c>
      <c r="L30" s="51">
        <f t="shared" si="3"/>
        <v>7.6071624500295023</v>
      </c>
      <c r="M30" s="51">
        <f t="shared" si="4"/>
        <v>0.454152</v>
      </c>
      <c r="N30" s="51">
        <f t="shared" si="5"/>
        <v>0.40277887440000004</v>
      </c>
      <c r="O30" s="51">
        <f t="shared" si="6"/>
        <v>-0.051373125600000007</v>
      </c>
      <c r="P30" s="51">
        <f t="shared" si="7"/>
        <v>0.051373125600000007</v>
      </c>
      <c r="Q30" s="52">
        <f t="shared" si="26"/>
        <v>-11.311879194630873</v>
      </c>
      <c r="R30" s="52">
        <f t="shared" si="27"/>
        <v>11.311879194630873</v>
      </c>
      <c r="T30" s="52">
        <v>24.957882053902566</v>
      </c>
      <c r="U30" s="52">
        <v>1.3999999999999999</v>
      </c>
      <c r="V30" s="52">
        <v>1.4497720000000001</v>
      </c>
      <c r="W30" s="52">
        <f t="shared" si="32"/>
        <v>0.049772000000000149</v>
      </c>
      <c r="X30" s="52">
        <f t="shared" si="33"/>
        <v>0.049772000000000149</v>
      </c>
      <c r="Y30" s="52">
        <f t="shared" si="21"/>
        <v>7.6071624500295023</v>
      </c>
      <c r="Z30" s="52">
        <f t="shared" si="22"/>
        <v>0.42671999999999999</v>
      </c>
      <c r="AA30" s="52">
        <f t="shared" si="23"/>
        <v>0.44189050560000004</v>
      </c>
      <c r="AB30" s="52">
        <f t="shared" si="24"/>
        <v>0.015170505600000047</v>
      </c>
      <c r="AC30" s="52">
        <f t="shared" si="25"/>
        <v>0.015170505600000047</v>
      </c>
      <c r="AD30" s="52">
        <f t="shared" si="28"/>
        <v>3.5551428571428683</v>
      </c>
      <c r="AE30" s="52">
        <f t="shared" si="29"/>
        <v>3.5551428571428683</v>
      </c>
    </row>
    <row r="31">
      <c r="B31" s="46">
        <v>1023</v>
      </c>
      <c r="C31" s="46">
        <v>2204509.5460000001</v>
      </c>
      <c r="D31" s="46">
        <v>6721998.6629999997</v>
      </c>
      <c r="E31" s="46">
        <v>130.256</v>
      </c>
      <c r="F31" s="46">
        <v>795</v>
      </c>
      <c r="G31" s="52">
        <v>31.823254076137651</v>
      </c>
      <c r="H31" s="46">
        <v>1.25</v>
      </c>
      <c r="I31" s="46">
        <v>1.385759</v>
      </c>
      <c r="J31" s="46">
        <f t="shared" si="30"/>
        <v>0.13575899999999996</v>
      </c>
      <c r="K31" s="46">
        <f t="shared" si="31"/>
        <v>0.13575899999999996</v>
      </c>
      <c r="L31" s="51">
        <f t="shared" si="3"/>
        <v>9.699727842406757</v>
      </c>
      <c r="M31" s="51">
        <f t="shared" si="4"/>
        <v>0.38100000000000001</v>
      </c>
      <c r="N31" s="51">
        <f t="shared" si="5"/>
        <v>0.42237934320000003</v>
      </c>
      <c r="O31" s="51">
        <f t="shared" si="6"/>
        <v>0.041379343199999988</v>
      </c>
      <c r="P31" s="51">
        <f t="shared" si="7"/>
        <v>0.041379343199999988</v>
      </c>
      <c r="Q31" s="52">
        <f t="shared" si="26"/>
        <v>10.860719999999997</v>
      </c>
      <c r="R31" s="52">
        <f t="shared" si="27"/>
        <v>10.860719999999997</v>
      </c>
      <c r="T31" s="52">
        <v>31.823254076137651</v>
      </c>
      <c r="U31" s="52">
        <v>1.14828</v>
      </c>
      <c r="V31" s="52">
        <v>1.6634910000000001</v>
      </c>
      <c r="W31" s="52">
        <f t="shared" si="32"/>
        <v>0.51521100000000009</v>
      </c>
      <c r="X31" s="52">
        <f t="shared" si="33"/>
        <v>0.51521100000000009</v>
      </c>
      <c r="Y31" s="52">
        <f t="shared" si="21"/>
        <v>9.699727842406757</v>
      </c>
      <c r="Z31" s="52">
        <f t="shared" si="22"/>
        <v>0.349995744</v>
      </c>
      <c r="AA31" s="52">
        <f t="shared" si="23"/>
        <v>0.50703205680000007</v>
      </c>
      <c r="AB31" s="52">
        <f t="shared" si="24"/>
        <v>0.15703631280000002</v>
      </c>
      <c r="AC31" s="52">
        <f t="shared" si="25"/>
        <v>0.15703631280000002</v>
      </c>
      <c r="AD31" s="52">
        <f t="shared" si="28"/>
        <v>44.86806353850978</v>
      </c>
      <c r="AE31" s="52">
        <f t="shared" si="29"/>
        <v>44.86806353850978</v>
      </c>
    </row>
    <row r="32">
      <c r="B32" s="46">
        <v>1024</v>
      </c>
      <c r="C32" s="46">
        <v>2204516.3020000001</v>
      </c>
      <c r="D32" s="46">
        <v>6721997.4380000001</v>
      </c>
      <c r="E32" s="46">
        <v>130.417</v>
      </c>
      <c r="F32" s="46">
        <v>795</v>
      </c>
      <c r="G32" s="52">
        <v>38.689414648087016</v>
      </c>
      <c r="H32" s="46">
        <v>1.1100000000000001</v>
      </c>
      <c r="I32" s="46">
        <v>1.334954</v>
      </c>
      <c r="J32" s="46">
        <f t="shared" si="30"/>
        <v>0.22495399999999988</v>
      </c>
      <c r="K32" s="46">
        <f t="shared" si="31"/>
        <v>0.22495399999999988</v>
      </c>
      <c r="L32" s="51">
        <f t="shared" si="3"/>
        <v>11.792533584736923</v>
      </c>
      <c r="M32" s="51">
        <f t="shared" si="4"/>
        <v>0.33832800000000007</v>
      </c>
      <c r="N32" s="51">
        <f t="shared" si="5"/>
        <v>0.40689397920000003</v>
      </c>
      <c r="O32" s="51">
        <f t="shared" si="6"/>
        <v>0.06856597919999996</v>
      </c>
      <c r="P32" s="51">
        <f t="shared" si="7"/>
        <v>0.06856597919999996</v>
      </c>
      <c r="Q32" s="52">
        <f t="shared" si="26"/>
        <v>20.266126126126114</v>
      </c>
      <c r="R32" s="52">
        <f t="shared" si="27"/>
        <v>20.266126126126114</v>
      </c>
      <c r="T32" s="52">
        <v>38.689414648087016</v>
      </c>
      <c r="U32" s="52">
        <v>1.1000000000000001</v>
      </c>
      <c r="V32" s="52">
        <v>1.89131</v>
      </c>
      <c r="W32" s="52">
        <f t="shared" si="32"/>
        <v>0.79130999999999996</v>
      </c>
      <c r="X32" s="52">
        <f t="shared" si="33"/>
        <v>0.79130999999999996</v>
      </c>
      <c r="Y32" s="52">
        <f t="shared" si="21"/>
        <v>11.792533584736923</v>
      </c>
      <c r="Z32" s="52">
        <f t="shared" si="22"/>
        <v>0.33528000000000002</v>
      </c>
      <c r="AA32" s="52">
        <f t="shared" si="23"/>
        <v>0.57647128800000003</v>
      </c>
      <c r="AB32" s="52">
        <f t="shared" si="24"/>
        <v>0.241191288</v>
      </c>
      <c r="AC32" s="52">
        <f t="shared" si="25"/>
        <v>0.241191288</v>
      </c>
      <c r="AD32" s="52">
        <f t="shared" si="28"/>
        <v>71.937272727272727</v>
      </c>
      <c r="AE32" s="52">
        <f t="shared" si="29"/>
        <v>71.937272727272727</v>
      </c>
    </row>
    <row r="33">
      <c r="B33" s="46">
        <v>1025</v>
      </c>
      <c r="C33" s="46">
        <v>2204523.3769999999</v>
      </c>
      <c r="D33" s="46">
        <v>6721997.6320000002</v>
      </c>
      <c r="E33" s="46">
        <v>130.53299999999999</v>
      </c>
      <c r="F33" s="46">
        <v>795</v>
      </c>
      <c r="G33" s="52">
        <v>45.767073936022442</v>
      </c>
      <c r="H33" s="46">
        <v>0.62</v>
      </c>
      <c r="I33" s="46">
        <v>1.1993689999999999</v>
      </c>
      <c r="J33" s="46">
        <f t="shared" si="30"/>
        <v>0.57936899999999991</v>
      </c>
      <c r="K33" s="46">
        <f t="shared" si="31"/>
        <v>0.57936899999999991</v>
      </c>
      <c r="L33" s="51">
        <f t="shared" si="3"/>
        <v>13.94980413569964</v>
      </c>
      <c r="M33" s="51">
        <f t="shared" si="4"/>
        <v>0.18897600000000001</v>
      </c>
      <c r="N33" s="51">
        <f t="shared" si="5"/>
        <v>0.3655676712</v>
      </c>
      <c r="O33" s="51">
        <f t="shared" si="6"/>
        <v>0.17659167119999999</v>
      </c>
      <c r="P33" s="51">
        <f t="shared" si="7"/>
        <v>0.17659167119999999</v>
      </c>
      <c r="Q33" s="52">
        <f t="shared" si="26"/>
        <v>93.446612903225798</v>
      </c>
      <c r="R33" s="52">
        <f t="shared" si="27"/>
        <v>93.446612903225798</v>
      </c>
      <c r="T33" s="52">
        <v>45.767073936022442</v>
      </c>
      <c r="U33" s="52">
        <v>0.95143199999999994</v>
      </c>
      <c r="V33" s="52">
        <v>1.8474790000000001</v>
      </c>
      <c r="W33" s="52">
        <f t="shared" si="32"/>
        <v>0.89604700000000015</v>
      </c>
      <c r="X33" s="52">
        <f t="shared" si="33"/>
        <v>0.89604700000000015</v>
      </c>
      <c r="Y33" s="52">
        <f t="shared" si="21"/>
        <v>13.94980413569964</v>
      </c>
      <c r="Z33" s="52">
        <f t="shared" si="22"/>
        <v>0.28999647359999997</v>
      </c>
      <c r="AA33" s="52">
        <f t="shared" si="23"/>
        <v>0.56311159920000009</v>
      </c>
      <c r="AB33" s="52">
        <f t="shared" si="24"/>
        <v>0.27311512560000006</v>
      </c>
      <c r="AC33" s="52">
        <f t="shared" si="25"/>
        <v>0.27311512560000006</v>
      </c>
      <c r="AD33" s="52">
        <f t="shared" si="28"/>
        <v>94.178774731142127</v>
      </c>
      <c r="AE33" s="52">
        <f t="shared" si="29"/>
        <v>94.178774731142127</v>
      </c>
    </row>
    <row r="34">
      <c r="B34" s="46">
        <v>1026</v>
      </c>
      <c r="C34" s="46">
        <v>2204529.9199999999</v>
      </c>
      <c r="D34" s="46">
        <v>6721997.1730000004</v>
      </c>
      <c r="E34" s="46">
        <v>130.72800000000001</v>
      </c>
      <c r="F34" s="46">
        <v>795</v>
      </c>
      <c r="G34" s="52">
        <v>52.326153902042378</v>
      </c>
      <c r="H34" s="46">
        <v>0.46000000000000002</v>
      </c>
      <c r="I34" s="46">
        <v>1.033128</v>
      </c>
      <c r="J34" s="46">
        <f t="shared" si="30"/>
        <v>0.57312800000000008</v>
      </c>
      <c r="K34" s="46">
        <f t="shared" si="31"/>
        <v>0.57312800000000008</v>
      </c>
      <c r="L34" s="51">
        <f t="shared" si="3"/>
        <v>15.949011709342518</v>
      </c>
      <c r="M34" s="51">
        <f t="shared" si="4"/>
        <v>0.140208</v>
      </c>
      <c r="N34" s="51">
        <f t="shared" si="5"/>
        <v>0.31489741440000002</v>
      </c>
      <c r="O34" s="51">
        <f t="shared" si="6"/>
        <v>0.17468941440000002</v>
      </c>
      <c r="P34" s="51">
        <f t="shared" si="7"/>
        <v>0.17468941440000002</v>
      </c>
      <c r="Q34" s="52">
        <f t="shared" si="26"/>
        <v>124.59304347826088</v>
      </c>
      <c r="R34" s="52">
        <f t="shared" si="27"/>
        <v>124.59304347826088</v>
      </c>
      <c r="T34" s="52">
        <v>52.326153902042378</v>
      </c>
      <c r="U34" s="52">
        <v>0.65000000000000002</v>
      </c>
      <c r="V34" s="52">
        <v>1.5861339999999999</v>
      </c>
      <c r="W34" s="52">
        <f t="shared" si="32"/>
        <v>0.93613399999999991</v>
      </c>
      <c r="X34" s="52">
        <f t="shared" si="33"/>
        <v>0.93613399999999991</v>
      </c>
      <c r="Y34" s="52">
        <f t="shared" si="21"/>
        <v>15.949011709342518</v>
      </c>
      <c r="Z34" s="52">
        <f t="shared" si="22"/>
        <v>0.19812000000000002</v>
      </c>
      <c r="AA34" s="52">
        <f t="shared" si="23"/>
        <v>0.48345364320000001</v>
      </c>
      <c r="AB34" s="52">
        <f t="shared" si="24"/>
        <v>0.28533364319999999</v>
      </c>
      <c r="AC34" s="52">
        <f t="shared" si="25"/>
        <v>0.28533364319999999</v>
      </c>
      <c r="AD34" s="52">
        <f t="shared" si="28"/>
        <v>144.02061538461535</v>
      </c>
      <c r="AE34" s="52">
        <f t="shared" si="29"/>
        <v>144.02061538461535</v>
      </c>
    </row>
    <row r="35">
      <c r="B35" s="46">
        <v>1027</v>
      </c>
      <c r="C35" s="46">
        <v>2204536.5690000001</v>
      </c>
      <c r="D35" s="46">
        <v>6721996.8859999999</v>
      </c>
      <c r="E35" s="46">
        <v>130.85499999999999</v>
      </c>
      <c r="F35" s="46">
        <v>795</v>
      </c>
      <c r="G35" s="52">
        <v>58.98134510914138</v>
      </c>
      <c r="H35" s="46">
        <v>0.20000000000000001</v>
      </c>
      <c r="I35" s="46">
        <v>0.84806800000000004</v>
      </c>
      <c r="J35" s="46">
        <f t="shared" si="30"/>
        <v>0.64806800000000009</v>
      </c>
      <c r="K35" s="46">
        <f t="shared" si="31"/>
        <v>0.64806800000000009</v>
      </c>
      <c r="L35" s="51">
        <f t="shared" si="3"/>
        <v>17.977513989266292</v>
      </c>
      <c r="M35" s="51">
        <f t="shared" si="4"/>
        <v>0.060960000000000007</v>
      </c>
      <c r="N35" s="51">
        <f t="shared" si="5"/>
        <v>0.25849112640000005</v>
      </c>
      <c r="O35" s="51">
        <f t="shared" si="6"/>
        <v>0.19753112640000003</v>
      </c>
      <c r="P35" s="51">
        <f t="shared" si="7"/>
        <v>0.19753112640000003</v>
      </c>
      <c r="Q35" s="52">
        <f t="shared" si="26"/>
        <v>324.03400000000005</v>
      </c>
      <c r="R35" s="52">
        <f t="shared" si="27"/>
        <v>324.03400000000005</v>
      </c>
      <c r="T35" s="52">
        <v>58.98134510914138</v>
      </c>
      <c r="U35" s="52">
        <v>0.49212</v>
      </c>
      <c r="V35" s="52">
        <v>1.2656879999999999</v>
      </c>
      <c r="W35" s="52">
        <f t="shared" si="32"/>
        <v>0.77356799999999992</v>
      </c>
      <c r="X35" s="52">
        <f t="shared" si="33"/>
        <v>0.77356799999999992</v>
      </c>
      <c r="Y35" s="52">
        <f t="shared" si="21"/>
        <v>17.977513989266292</v>
      </c>
      <c r="Z35" s="52">
        <f t="shared" si="22"/>
        <v>0.14999817600000001</v>
      </c>
      <c r="AA35" s="52">
        <f t="shared" si="23"/>
        <v>0.38578170239999998</v>
      </c>
      <c r="AB35" s="52">
        <f t="shared" si="24"/>
        <v>0.2357835264</v>
      </c>
      <c r="AC35" s="52">
        <f t="shared" si="25"/>
        <v>0.2357835264</v>
      </c>
      <c r="AD35" s="52">
        <f t="shared" si="28"/>
        <v>157.19092904169713</v>
      </c>
      <c r="AE35" s="52">
        <f t="shared" si="29"/>
        <v>157.19092904169713</v>
      </c>
    </row>
    <row r="36" s="72" customFormat="1">
      <c r="A36" s="75" t="s">
        <v>44</v>
      </c>
      <c r="B36" s="72">
        <v>1028</v>
      </c>
      <c r="C36" s="72">
        <v>2204853.0520000001</v>
      </c>
      <c r="D36" s="72">
        <v>6722396.1169999996</v>
      </c>
      <c r="E36" s="72">
        <v>130.029</v>
      </c>
      <c r="F36" s="72">
        <v>795</v>
      </c>
      <c r="G36" s="74">
        <v>12.147359631025024</v>
      </c>
      <c r="H36" s="72">
        <v>0.84999999999999998</v>
      </c>
      <c r="I36" s="72">
        <v>3.5254189999999999</v>
      </c>
      <c r="J36" s="72">
        <f>I36-H36</f>
        <v>2.6754189999999998</v>
      </c>
      <c r="K36" s="72">
        <f>ABS(J36)</f>
        <v>2.6754189999999998</v>
      </c>
      <c r="L36" s="73">
        <f t="shared" si="3"/>
        <v>3.7025152155364274</v>
      </c>
      <c r="M36" s="73">
        <f t="shared" si="4"/>
        <v>0.25908000000000003</v>
      </c>
      <c r="N36" s="73">
        <f t="shared" si="5"/>
        <v>1.0745477111999999</v>
      </c>
      <c r="O36" s="73">
        <f t="shared" si="6"/>
        <v>0.81546771119999995</v>
      </c>
      <c r="P36" s="73">
        <f t="shared" si="7"/>
        <v>0.81546771119999995</v>
      </c>
      <c r="Q36" s="74">
        <f>100*J36/H36</f>
        <v>314.75517647058825</v>
      </c>
      <c r="R36" s="74">
        <f>ABS(Q36)</f>
        <v>314.75517647058825</v>
      </c>
      <c r="T36" s="74">
        <v>12.147359631025024</v>
      </c>
      <c r="U36" s="74">
        <v>0.88581600000000005</v>
      </c>
      <c r="V36" s="74">
        <v>1.183292</v>
      </c>
      <c r="W36" s="74">
        <f>V36-U36</f>
        <v>0.29747599999999996</v>
      </c>
      <c r="X36" s="74">
        <f>ABS(W36)</f>
        <v>0.29747599999999996</v>
      </c>
      <c r="Y36" s="74">
        <f t="shared" si="21"/>
        <v>3.7025152155364274</v>
      </c>
      <c r="Z36" s="74">
        <f t="shared" si="22"/>
        <v>0.26999671680000004</v>
      </c>
      <c r="AA36" s="74">
        <f t="shared" si="23"/>
        <v>0.36066740160000005</v>
      </c>
      <c r="AB36" s="74">
        <f t="shared" si="24"/>
        <v>0.090670684799999998</v>
      </c>
      <c r="AC36" s="74">
        <f t="shared" si="25"/>
        <v>0.090670684799999998</v>
      </c>
      <c r="AD36" s="74">
        <f>100*W36/U36</f>
        <v>33.582143469975698</v>
      </c>
      <c r="AE36" s="74">
        <f>ABS(AD36)</f>
        <v>33.582143469975698</v>
      </c>
    </row>
    <row r="37">
      <c r="B37" s="46">
        <v>1029</v>
      </c>
      <c r="C37" s="46">
        <v>2204858.0589999999</v>
      </c>
      <c r="D37" s="46">
        <v>6722397.4550000001</v>
      </c>
      <c r="E37" s="46">
        <v>129.70400000000001</v>
      </c>
      <c r="F37" s="46">
        <v>795</v>
      </c>
      <c r="G37" s="52">
        <v>17.330051306083146</v>
      </c>
      <c r="H37" s="46">
        <v>1.3300000000000001</v>
      </c>
      <c r="I37" s="46">
        <v>3.8162199999999999</v>
      </c>
      <c r="J37" s="46">
        <f>I37-H37</f>
        <v>2.4862199999999999</v>
      </c>
      <c r="K37" s="46">
        <f>ABS(J37)</f>
        <v>2.4862199999999999</v>
      </c>
      <c r="L37" s="51">
        <f t="shared" si="3"/>
        <v>5.2821996380941432</v>
      </c>
      <c r="M37" s="51">
        <f t="shared" si="4"/>
        <v>0.40538400000000002</v>
      </c>
      <c r="N37" s="51">
        <f t="shared" si="5"/>
        <v>1.1631838560000001</v>
      </c>
      <c r="O37" s="51">
        <f t="shared" si="6"/>
        <v>0.75779985599999999</v>
      </c>
      <c r="P37" s="51">
        <f t="shared" si="7"/>
        <v>0.75779985599999999</v>
      </c>
      <c r="Q37" s="52">
        <f>100*J37/H37</f>
        <v>186.93383458646613</v>
      </c>
      <c r="R37" s="52">
        <f>ABS(Q37)</f>
        <v>186.93383458646613</v>
      </c>
      <c r="T37" s="52">
        <v>17.330051306083146</v>
      </c>
      <c r="U37" s="52">
        <v>1.1499999999999999</v>
      </c>
      <c r="V37" s="52">
        <v>1.3619049999999999</v>
      </c>
      <c r="W37" s="52">
        <f>V37-U37</f>
        <v>0.21190500000000001</v>
      </c>
      <c r="X37" s="52">
        <f>ABS(W37)</f>
        <v>0.21190500000000001</v>
      </c>
      <c r="Y37" s="52">
        <f t="shared" si="21"/>
        <v>5.2821996380941432</v>
      </c>
      <c r="Z37" s="52">
        <f t="shared" si="22"/>
        <v>0.35052</v>
      </c>
      <c r="AA37" s="52">
        <f t="shared" si="23"/>
        <v>0.41510864399999997</v>
      </c>
      <c r="AB37" s="52">
        <f t="shared" si="24"/>
        <v>0.064588644000000001</v>
      </c>
      <c r="AC37" s="52">
        <f t="shared" si="25"/>
        <v>0.064588644000000001</v>
      </c>
      <c r="AD37" s="52">
        <f>100*W37/U37</f>
        <v>18.426521739130436</v>
      </c>
      <c r="AE37" s="52">
        <f>ABS(AD37)</f>
        <v>18.426521739130436</v>
      </c>
    </row>
    <row r="38">
      <c r="B38" s="46">
        <v>1030</v>
      </c>
      <c r="C38" s="46">
        <v>2204864.6150000002</v>
      </c>
      <c r="D38" s="46">
        <v>6722398.324</v>
      </c>
      <c r="E38" s="46">
        <v>128.816</v>
      </c>
      <c r="F38" s="46">
        <v>795</v>
      </c>
      <c r="G38" s="52">
        <v>23.943393653509041</v>
      </c>
      <c r="H38" s="46">
        <v>2.2999999999999998</v>
      </c>
      <c r="I38" s="46">
        <v>4.1330730000000004</v>
      </c>
      <c r="J38" s="46">
        <f>I38-H38</f>
        <v>1.8330730000000006</v>
      </c>
      <c r="K38" s="46">
        <f>ABS(J38)</f>
        <v>1.8330730000000006</v>
      </c>
      <c r="L38" s="51">
        <f t="shared" si="3"/>
        <v>7.2979463855895563</v>
      </c>
      <c r="M38" s="51">
        <f t="shared" si="4"/>
        <v>0.70104</v>
      </c>
      <c r="N38" s="51">
        <f t="shared" si="5"/>
        <v>1.2597606504000003</v>
      </c>
      <c r="O38" s="51">
        <f t="shared" si="6"/>
        <v>0.55872065040000018</v>
      </c>
      <c r="P38" s="51">
        <f t="shared" si="7"/>
        <v>0.55872065040000018</v>
      </c>
      <c r="Q38" s="52">
        <f>100*J38/H38</f>
        <v>79.698826086956558</v>
      </c>
      <c r="R38" s="52">
        <f>ABS(Q38)</f>
        <v>79.698826086956558</v>
      </c>
      <c r="T38" s="52">
        <v>23.943393653509041</v>
      </c>
      <c r="U38" s="52">
        <v>2.1981360000000003</v>
      </c>
      <c r="V38" s="52">
        <v>1.5963400000000001</v>
      </c>
      <c r="W38" s="52">
        <f>V38-U38</f>
        <v>-0.60179600000000022</v>
      </c>
      <c r="X38" s="52">
        <f>ABS(W38)</f>
        <v>0.60179600000000022</v>
      </c>
      <c r="Y38" s="52">
        <f t="shared" si="21"/>
        <v>7.2979463855895563</v>
      </c>
      <c r="Z38" s="52">
        <f t="shared" si="22"/>
        <v>0.66999185280000018</v>
      </c>
      <c r="AA38" s="52">
        <f t="shared" si="23"/>
        <v>0.48656443200000005</v>
      </c>
      <c r="AB38" s="52">
        <f t="shared" si="24"/>
        <v>-0.18342742080000007</v>
      </c>
      <c r="AC38" s="52">
        <f t="shared" si="25"/>
        <v>0.18342742080000007</v>
      </c>
      <c r="AD38" s="52">
        <f>100*W38/U38</f>
        <v>-27.377559896202971</v>
      </c>
      <c r="AE38" s="52">
        <f>ABS(AD38)</f>
        <v>27.377559896202971</v>
      </c>
    </row>
    <row r="39">
      <c r="B39" s="46">
        <v>1032</v>
      </c>
      <c r="C39" s="46">
        <v>2204871.429</v>
      </c>
      <c r="D39" s="46">
        <v>6722399.2680000002</v>
      </c>
      <c r="E39" s="46">
        <v>128.46899999999999</v>
      </c>
      <c r="F39" s="46">
        <v>795</v>
      </c>
      <c r="G39" s="52">
        <v>30.822472952169427</v>
      </c>
      <c r="H39" s="46">
        <v>3.3399999999999999</v>
      </c>
      <c r="I39" s="46">
        <v>4.3266710000000002</v>
      </c>
      <c r="J39" s="46">
        <f>I39-H39</f>
        <v>0.9866710000000003</v>
      </c>
      <c r="K39" s="46">
        <f>ABS(J39)</f>
        <v>0.9866710000000003</v>
      </c>
      <c r="L39" s="51">
        <f t="shared" si="3"/>
        <v>9.3946897558212417</v>
      </c>
      <c r="M39" s="51">
        <f t="shared" si="4"/>
        <v>1.018032</v>
      </c>
      <c r="N39" s="51">
        <f t="shared" si="5"/>
        <v>1.3187693208000002</v>
      </c>
      <c r="O39" s="51">
        <f t="shared" si="6"/>
        <v>0.3007373208000001</v>
      </c>
      <c r="P39" s="51">
        <f t="shared" si="7"/>
        <v>0.3007373208000001</v>
      </c>
      <c r="Q39" s="52">
        <f>100*J39/H39</f>
        <v>29.541047904191629</v>
      </c>
      <c r="R39" s="52">
        <f>ABS(Q39)</f>
        <v>29.541047904191629</v>
      </c>
      <c r="T39" s="52">
        <v>30.822472952169427</v>
      </c>
      <c r="U39" s="52">
        <v>2.7999999999999998</v>
      </c>
      <c r="V39" s="52">
        <v>1.87218</v>
      </c>
      <c r="W39" s="52">
        <f>V39-U39</f>
        <v>-0.92781999999999987</v>
      </c>
      <c r="X39" s="52">
        <f>ABS(W39)</f>
        <v>0.92781999999999987</v>
      </c>
      <c r="Y39" s="52">
        <f t="shared" si="21"/>
        <v>9.3946897558212417</v>
      </c>
      <c r="Z39" s="52">
        <f t="shared" si="22"/>
        <v>0.85343999999999998</v>
      </c>
      <c r="AA39" s="52">
        <f t="shared" si="23"/>
        <v>0.57064046400000001</v>
      </c>
      <c r="AB39" s="52">
        <f t="shared" si="24"/>
        <v>-0.28279953599999996</v>
      </c>
      <c r="AC39" s="52">
        <f t="shared" si="25"/>
        <v>0.28279953599999996</v>
      </c>
      <c r="AD39" s="52">
        <f>100*W39/U39</f>
        <v>-33.136428571428567</v>
      </c>
      <c r="AE39" s="52">
        <f>ABS(AD39)</f>
        <v>33.136428571428567</v>
      </c>
    </row>
    <row r="40" s="72" customFormat="1">
      <c r="A40" s="75" t="s">
        <v>46</v>
      </c>
      <c r="B40" s="72">
        <v>1033</v>
      </c>
      <c r="C40" s="72">
        <v>2204799.8760000002</v>
      </c>
      <c r="D40" s="72">
        <v>6722572.1160000004</v>
      </c>
      <c r="E40" s="72">
        <v>132.16999999999999</v>
      </c>
      <c r="F40" s="72">
        <v>795</v>
      </c>
      <c r="G40" s="74">
        <v>7.6859998704795434</v>
      </c>
      <c r="H40" s="72">
        <v>1.05</v>
      </c>
      <c r="I40" s="72">
        <v>1.9285699999999999</v>
      </c>
      <c r="J40" s="72">
        <f t="shared" ref="J40:J54" si="34">I40-H40</f>
        <v>0.87856999999999985</v>
      </c>
      <c r="K40" s="72">
        <f t="shared" ref="K40:K54" si="35">ABS(J40)</f>
        <v>0.87856999999999985</v>
      </c>
      <c r="L40" s="73">
        <f t="shared" si="3"/>
        <v>2.3426927605221648</v>
      </c>
      <c r="M40" s="73">
        <f t="shared" si="4"/>
        <v>0.32004000000000005</v>
      </c>
      <c r="N40" s="73">
        <f t="shared" si="5"/>
        <v>0.58782813599999995</v>
      </c>
      <c r="O40" s="73">
        <f t="shared" si="6"/>
        <v>0.26778813599999995</v>
      </c>
      <c r="P40" s="73">
        <f t="shared" si="7"/>
        <v>0.26778813599999995</v>
      </c>
      <c r="Q40" s="74">
        <f t="shared" ref="Q40:Q54" si="36">100*J40/H40</f>
        <v>83.673333333333318</v>
      </c>
      <c r="R40" s="74">
        <f t="shared" ref="R40:R54" si="37">ABS(Q40)</f>
        <v>83.673333333333318</v>
      </c>
      <c r="T40" s="74">
        <v>7.6859998704795434</v>
      </c>
      <c r="U40" s="74">
        <v>0.42650400000000005</v>
      </c>
      <c r="V40" s="74">
        <v>0.71050599999999997</v>
      </c>
      <c r="W40" s="74">
        <f t="shared" ref="W40:W54" si="38">V40-U40</f>
        <v>0.28400199999999992</v>
      </c>
      <c r="X40" s="74">
        <f t="shared" ref="X40:X54" si="39">ABS(W40)</f>
        <v>0.28400199999999992</v>
      </c>
      <c r="Y40" s="74">
        <f t="shared" si="21"/>
        <v>2.3426927605221648</v>
      </c>
      <c r="Z40" s="74">
        <f t="shared" si="22"/>
        <v>0.12999841920000002</v>
      </c>
      <c r="AA40" s="74">
        <f t="shared" si="23"/>
        <v>0.21656222880000001</v>
      </c>
      <c r="AB40" s="74">
        <f t="shared" si="24"/>
        <v>0.086563809599999986</v>
      </c>
      <c r="AC40" s="74">
        <f t="shared" si="25"/>
        <v>0.086563809599999986</v>
      </c>
      <c r="AD40" s="74">
        <f t="shared" ref="AD40:AD54" si="40">100*W40/U40</f>
        <v>66.588355560557432</v>
      </c>
      <c r="AE40" s="74">
        <f t="shared" ref="AE40:AE98" si="41">ABS(AD40)</f>
        <v>66.588355560557432</v>
      </c>
    </row>
    <row r="41">
      <c r="B41" s="46">
        <v>1034</v>
      </c>
      <c r="C41" s="46">
        <v>2204806.7790000001</v>
      </c>
      <c r="D41" s="46">
        <v>6722573.102</v>
      </c>
      <c r="E41" s="46">
        <v>131.62299999999999</v>
      </c>
      <c r="F41" s="46">
        <v>795</v>
      </c>
      <c r="G41" s="52">
        <v>14.659062683779169</v>
      </c>
      <c r="H41" s="46">
        <v>1.8200000000000001</v>
      </c>
      <c r="I41" s="46">
        <v>2.4349120000000002</v>
      </c>
      <c r="J41" s="46">
        <f t="shared" si="34"/>
        <v>0.61491200000000013</v>
      </c>
      <c r="K41" s="46">
        <f t="shared" si="35"/>
        <v>0.61491200000000013</v>
      </c>
      <c r="L41" s="51">
        <f t="shared" si="3"/>
        <v>4.4680823060158907</v>
      </c>
      <c r="M41" s="51">
        <f t="shared" si="4"/>
        <v>0.55473600000000001</v>
      </c>
      <c r="N41" s="51">
        <f t="shared" si="5"/>
        <v>0.74216117760000011</v>
      </c>
      <c r="O41" s="51">
        <f t="shared" si="6"/>
        <v>0.18742517760000005</v>
      </c>
      <c r="P41" s="51">
        <f t="shared" si="7"/>
        <v>0.18742517760000005</v>
      </c>
      <c r="Q41" s="52">
        <f t="shared" si="36"/>
        <v>33.786373626373631</v>
      </c>
      <c r="R41" s="52">
        <f t="shared" si="37"/>
        <v>33.786373626373631</v>
      </c>
      <c r="T41" s="52">
        <v>14.659062683779169</v>
      </c>
      <c r="U41" s="52">
        <v>0.94999999999999996</v>
      </c>
      <c r="V41" s="52">
        <v>0.97683500000000001</v>
      </c>
      <c r="W41" s="52">
        <f t="shared" si="38"/>
        <v>0.026835000000000053</v>
      </c>
      <c r="X41" s="52">
        <f t="shared" si="39"/>
        <v>0.026835000000000053</v>
      </c>
      <c r="Y41" s="52">
        <f t="shared" si="21"/>
        <v>4.4680823060158907</v>
      </c>
      <c r="Z41" s="52">
        <f t="shared" si="22"/>
        <v>0.28955999999999998</v>
      </c>
      <c r="AA41" s="52">
        <f t="shared" si="23"/>
        <v>0.29773930800000004</v>
      </c>
      <c r="AB41" s="52">
        <f t="shared" si="24"/>
        <v>0.0081793080000000171</v>
      </c>
      <c r="AC41" s="52">
        <f t="shared" si="25"/>
        <v>0.0081793080000000171</v>
      </c>
      <c r="AD41" s="52">
        <f t="shared" si="40"/>
        <v>2.8247368421052688</v>
      </c>
      <c r="AE41" s="52">
        <f t="shared" si="41"/>
        <v>2.8247368421052688</v>
      </c>
    </row>
    <row r="42">
      <c r="B42" s="46">
        <v>1035</v>
      </c>
      <c r="C42" s="46">
        <v>2204813.4980000001</v>
      </c>
      <c r="D42" s="46">
        <v>6722574.4519999996</v>
      </c>
      <c r="E42" s="46">
        <v>131.47</v>
      </c>
      <c r="F42" s="46">
        <v>795</v>
      </c>
      <c r="G42" s="52">
        <v>21.512343722781207</v>
      </c>
      <c r="H42" s="46">
        <v>2.3999999999999999</v>
      </c>
      <c r="I42" s="46">
        <v>2.8398919999999999</v>
      </c>
      <c r="J42" s="46">
        <f t="shared" si="34"/>
        <v>0.43989199999999995</v>
      </c>
      <c r="K42" s="46">
        <f t="shared" si="35"/>
        <v>0.43989199999999995</v>
      </c>
      <c r="L42" s="51">
        <f t="shared" si="3"/>
        <v>6.5569623667037122</v>
      </c>
      <c r="M42" s="51">
        <f t="shared" si="4"/>
        <v>0.73152000000000006</v>
      </c>
      <c r="N42" s="51">
        <f t="shared" si="5"/>
        <v>0.86559908159999999</v>
      </c>
      <c r="O42" s="51">
        <f t="shared" si="6"/>
        <v>0.13407908159999998</v>
      </c>
      <c r="P42" s="51">
        <f t="shared" si="7"/>
        <v>0.13407908159999998</v>
      </c>
      <c r="Q42" s="52">
        <f t="shared" si="36"/>
        <v>18.328833333333332</v>
      </c>
      <c r="R42" s="52">
        <f t="shared" si="37"/>
        <v>18.328833333333332</v>
      </c>
      <c r="T42" s="52">
        <v>21.512343722781207</v>
      </c>
      <c r="U42" s="52">
        <v>0.95143199999999994</v>
      </c>
      <c r="V42" s="52">
        <v>1.2322040000000001</v>
      </c>
      <c r="W42" s="52">
        <f t="shared" si="38"/>
        <v>0.28077200000000013</v>
      </c>
      <c r="X42" s="52">
        <f t="shared" si="39"/>
        <v>0.28077200000000013</v>
      </c>
      <c r="Y42" s="52">
        <f t="shared" si="21"/>
        <v>6.5569623667037122</v>
      </c>
      <c r="Z42" s="52">
        <f t="shared" si="22"/>
        <v>0.28999647359999997</v>
      </c>
      <c r="AA42" s="52">
        <f t="shared" si="23"/>
        <v>0.37557577920000002</v>
      </c>
      <c r="AB42" s="52">
        <f t="shared" si="24"/>
        <v>0.085579305600000044</v>
      </c>
      <c r="AC42" s="52">
        <f t="shared" si="25"/>
        <v>0.085579305600000044</v>
      </c>
      <c r="AD42" s="52">
        <f t="shared" si="40"/>
        <v>29.510464226555353</v>
      </c>
      <c r="AE42" s="52">
        <f t="shared" si="41"/>
        <v>29.510464226555353</v>
      </c>
    </row>
    <row r="43">
      <c r="B43" s="46">
        <v>1036</v>
      </c>
      <c r="C43" s="46">
        <v>2204821.3679999998</v>
      </c>
      <c r="D43" s="46">
        <v>6722577.0559999999</v>
      </c>
      <c r="E43" s="46">
        <v>131.44399999999999</v>
      </c>
      <c r="F43" s="46">
        <v>795</v>
      </c>
      <c r="G43" s="52">
        <v>29.801958671372248</v>
      </c>
      <c r="H43" s="46">
        <v>1.8200000000000001</v>
      </c>
      <c r="I43" s="46">
        <v>3.1696580000000001</v>
      </c>
      <c r="J43" s="46">
        <f t="shared" si="34"/>
        <v>1.349658</v>
      </c>
      <c r="K43" s="46">
        <f t="shared" si="35"/>
        <v>1.349658</v>
      </c>
      <c r="L43" s="51">
        <f t="shared" si="3"/>
        <v>9.0836370030342621</v>
      </c>
      <c r="M43" s="51">
        <f t="shared" si="4"/>
        <v>0.55473600000000001</v>
      </c>
      <c r="N43" s="51">
        <f t="shared" si="5"/>
        <v>0.96611175840000008</v>
      </c>
      <c r="O43" s="51">
        <f t="shared" si="6"/>
        <v>0.41137575840000001</v>
      </c>
      <c r="P43" s="51">
        <f t="shared" si="7"/>
        <v>0.41137575840000001</v>
      </c>
      <c r="Q43" s="52">
        <f t="shared" si="36"/>
        <v>74.157032967032961</v>
      </c>
      <c r="R43" s="52">
        <f t="shared" si="37"/>
        <v>74.157032967032961</v>
      </c>
      <c r="T43" s="52">
        <v>29.801958671372248</v>
      </c>
      <c r="U43" s="52">
        <v>1.05</v>
      </c>
      <c r="V43" s="52">
        <v>1.599804</v>
      </c>
      <c r="W43" s="52">
        <f t="shared" si="38"/>
        <v>0.54980399999999996</v>
      </c>
      <c r="X43" s="52">
        <f t="shared" si="39"/>
        <v>0.54980399999999996</v>
      </c>
      <c r="Y43" s="52">
        <f t="shared" si="21"/>
        <v>9.0836370030342621</v>
      </c>
      <c r="Z43" s="52">
        <f t="shared" si="22"/>
        <v>0.32004000000000005</v>
      </c>
      <c r="AA43" s="52">
        <f t="shared" si="23"/>
        <v>0.48762025920000002</v>
      </c>
      <c r="AB43" s="52">
        <f t="shared" si="24"/>
        <v>0.1675802592</v>
      </c>
      <c r="AC43" s="52">
        <f t="shared" si="25"/>
        <v>0.1675802592</v>
      </c>
      <c r="AD43" s="52">
        <f t="shared" si="40"/>
        <v>52.362285714285711</v>
      </c>
      <c r="AE43" s="52">
        <f t="shared" si="41"/>
        <v>52.362285714285711</v>
      </c>
    </row>
    <row r="44">
      <c r="B44" s="46">
        <v>1037</v>
      </c>
      <c r="C44" s="46">
        <v>2204830.4019999998</v>
      </c>
      <c r="D44" s="46">
        <v>6722579.3729999997</v>
      </c>
      <c r="E44" s="46">
        <v>131.17400000000001</v>
      </c>
      <c r="F44" s="46">
        <v>795</v>
      </c>
      <c r="G44" s="52">
        <v>39.12835374121746</v>
      </c>
      <c r="H44" s="46">
        <v>2.79</v>
      </c>
      <c r="I44" s="46">
        <v>3.3797069999999998</v>
      </c>
      <c r="J44" s="46">
        <f t="shared" si="34"/>
        <v>0.58970699999999976</v>
      </c>
      <c r="K44" s="46">
        <f t="shared" si="35"/>
        <v>0.58970699999999976</v>
      </c>
      <c r="L44" s="51">
        <f t="shared" si="3"/>
        <v>11.926322220323081</v>
      </c>
      <c r="M44" s="51">
        <f t="shared" si="4"/>
        <v>0.85039200000000004</v>
      </c>
      <c r="N44" s="51">
        <f t="shared" si="5"/>
        <v>1.0301346936</v>
      </c>
      <c r="O44" s="51">
        <f t="shared" si="6"/>
        <v>0.17974269359999995</v>
      </c>
      <c r="P44" s="51">
        <f t="shared" si="7"/>
        <v>0.17974269359999995</v>
      </c>
      <c r="Q44" s="52">
        <f t="shared" si="36"/>
        <v>21.136451612903219</v>
      </c>
      <c r="R44" s="52">
        <f t="shared" si="37"/>
        <v>21.136451612903219</v>
      </c>
      <c r="T44" s="52">
        <v>39.12835374121746</v>
      </c>
      <c r="U44" s="52">
        <v>1.3123200000000002</v>
      </c>
      <c r="V44" s="52">
        <v>1.940493</v>
      </c>
      <c r="W44" s="52">
        <f t="shared" si="38"/>
        <v>0.62817299999999987</v>
      </c>
      <c r="X44" s="52">
        <f t="shared" si="39"/>
        <v>0.62817299999999987</v>
      </c>
      <c r="Y44" s="52">
        <f t="shared" si="21"/>
        <v>11.926322220323081</v>
      </c>
      <c r="Z44" s="52">
        <f t="shared" si="22"/>
        <v>0.39999513600000008</v>
      </c>
      <c r="AA44" s="52">
        <f t="shared" si="23"/>
        <v>0.59146226639999999</v>
      </c>
      <c r="AB44" s="52">
        <f t="shared" si="24"/>
        <v>0.19146713039999996</v>
      </c>
      <c r="AC44" s="52">
        <f t="shared" si="25"/>
        <v>0.19146713039999996</v>
      </c>
      <c r="AD44" s="52">
        <f t="shared" si="40"/>
        <v>47.867364667154341</v>
      </c>
      <c r="AE44" s="52">
        <f t="shared" si="41"/>
        <v>47.867364667154341</v>
      </c>
    </row>
    <row r="45">
      <c r="B45" s="46">
        <v>1038</v>
      </c>
      <c r="C45" s="46">
        <v>2204838.1899999999</v>
      </c>
      <c r="D45" s="46">
        <v>6722581.1660000002</v>
      </c>
      <c r="E45" s="46">
        <v>131.02199999999999</v>
      </c>
      <c r="F45" s="46">
        <v>795</v>
      </c>
      <c r="G45" s="52">
        <v>47.120086532335051</v>
      </c>
      <c r="H45" s="46">
        <v>3.6600000000000001</v>
      </c>
      <c r="I45" s="46">
        <v>3.3934820000000001</v>
      </c>
      <c r="J45" s="46">
        <f t="shared" si="34"/>
        <v>-0.26651800000000003</v>
      </c>
      <c r="K45" s="46">
        <f t="shared" si="35"/>
        <v>0.26651800000000003</v>
      </c>
      <c r="L45" s="51">
        <f t="shared" si="3"/>
        <v>14.362202375055725</v>
      </c>
      <c r="M45" s="51">
        <f t="shared" si="4"/>
        <v>1.1155680000000001</v>
      </c>
      <c r="N45" s="51">
        <f t="shared" si="5"/>
        <v>1.0343333136000001</v>
      </c>
      <c r="O45" s="51">
        <f t="shared" si="6"/>
        <v>-0.08123468640000002</v>
      </c>
      <c r="P45" s="51">
        <f t="shared" si="7"/>
        <v>0.08123468640000002</v>
      </c>
      <c r="Q45" s="52">
        <f t="shared" si="36"/>
        <v>-7.2819125683060113</v>
      </c>
      <c r="R45" s="52">
        <f t="shared" si="37"/>
        <v>7.2819125683060113</v>
      </c>
      <c r="T45" s="52">
        <v>47.120086532335051</v>
      </c>
      <c r="U45" s="52">
        <v>1.55</v>
      </c>
      <c r="V45" s="52">
        <v>1.985028</v>
      </c>
      <c r="W45" s="52">
        <f t="shared" si="38"/>
        <v>0.43502799999999997</v>
      </c>
      <c r="X45" s="52">
        <f t="shared" si="39"/>
        <v>0.43502799999999997</v>
      </c>
      <c r="Y45" s="52">
        <f t="shared" si="21"/>
        <v>14.362202375055725</v>
      </c>
      <c r="Z45" s="52">
        <f t="shared" si="22"/>
        <v>0.47244000000000003</v>
      </c>
      <c r="AA45" s="52">
        <f t="shared" si="23"/>
        <v>0.60503653440000005</v>
      </c>
      <c r="AB45" s="52">
        <f t="shared" si="24"/>
        <v>0.13259653439999999</v>
      </c>
      <c r="AC45" s="52">
        <f t="shared" si="25"/>
        <v>0.13259653439999999</v>
      </c>
      <c r="AD45" s="52">
        <f t="shared" si="40"/>
        <v>28.066322580645156</v>
      </c>
      <c r="AE45" s="52">
        <f t="shared" si="41"/>
        <v>28.066322580645156</v>
      </c>
    </row>
    <row r="46">
      <c r="B46" s="46">
        <v>1039</v>
      </c>
      <c r="C46" s="46">
        <v>2204845.2429999998</v>
      </c>
      <c r="D46" s="46">
        <v>6722582.8969999999</v>
      </c>
      <c r="E46" s="46">
        <v>130.90700000000001</v>
      </c>
      <c r="F46" s="46">
        <v>795</v>
      </c>
      <c r="G46" s="52">
        <v>54.382398147560004</v>
      </c>
      <c r="H46" s="46">
        <v>4.1699999999999999</v>
      </c>
      <c r="I46" s="46">
        <v>3.375019</v>
      </c>
      <c r="J46" s="46">
        <f t="shared" si="34"/>
        <v>-0.79498099999999994</v>
      </c>
      <c r="K46" s="46">
        <f t="shared" si="35"/>
        <v>0.79498099999999994</v>
      </c>
      <c r="L46" s="51">
        <f t="shared" si="3"/>
        <v>16.57575495537629</v>
      </c>
      <c r="M46" s="51">
        <f t="shared" si="4"/>
        <v>1.2710160000000001</v>
      </c>
      <c r="N46" s="51">
        <f t="shared" si="5"/>
        <v>1.0287057911999999</v>
      </c>
      <c r="O46" s="51">
        <f t="shared" si="6"/>
        <v>-0.24231020879999998</v>
      </c>
      <c r="P46" s="51">
        <f t="shared" si="7"/>
        <v>0.24231020879999998</v>
      </c>
      <c r="Q46" s="52">
        <f t="shared" si="36"/>
        <v>-19.064292565947241</v>
      </c>
      <c r="R46" s="52">
        <f t="shared" si="37"/>
        <v>19.064292565947241</v>
      </c>
      <c r="T46" s="52">
        <v>54.382398147560004</v>
      </c>
      <c r="U46" s="52">
        <v>1.574784</v>
      </c>
      <c r="V46" s="52">
        <v>1.9433659999999999</v>
      </c>
      <c r="W46" s="52">
        <f t="shared" si="38"/>
        <v>0.36858199999999997</v>
      </c>
      <c r="X46" s="52">
        <f t="shared" si="39"/>
        <v>0.36858199999999997</v>
      </c>
      <c r="Y46" s="52">
        <f t="shared" si="21"/>
        <v>16.57575495537629</v>
      </c>
      <c r="Z46" s="52">
        <f t="shared" si="22"/>
        <v>0.47999416319999999</v>
      </c>
      <c r="AA46" s="52">
        <f t="shared" si="23"/>
        <v>0.59233795680000001</v>
      </c>
      <c r="AB46" s="52">
        <f t="shared" si="24"/>
        <v>0.11234379359999999</v>
      </c>
      <c r="AC46" s="52">
        <f t="shared" si="25"/>
        <v>0.11234379359999999</v>
      </c>
      <c r="AD46" s="52">
        <f t="shared" si="40"/>
        <v>23.405241607737949</v>
      </c>
      <c r="AE46" s="52">
        <f t="shared" si="41"/>
        <v>23.405241607737949</v>
      </c>
    </row>
    <row r="47">
      <c r="B47" s="46">
        <v>1040</v>
      </c>
      <c r="C47" s="46">
        <v>2204852.4840000002</v>
      </c>
      <c r="D47" s="46">
        <v>6722584.3300000001</v>
      </c>
      <c r="E47" s="46">
        <v>130.55500000000001</v>
      </c>
      <c r="F47" s="46">
        <v>795</v>
      </c>
      <c r="G47" s="52">
        <v>61.763832290473289</v>
      </c>
      <c r="H47" s="46">
        <v>4.5300000000000002</v>
      </c>
      <c r="I47" s="46">
        <v>3.4114909999999998</v>
      </c>
      <c r="J47" s="46">
        <f t="shared" si="34"/>
        <v>-1.1185090000000004</v>
      </c>
      <c r="K47" s="46">
        <f t="shared" si="35"/>
        <v>1.1185090000000004</v>
      </c>
      <c r="L47" s="51">
        <f t="shared" si="3"/>
        <v>18.825616082136261</v>
      </c>
      <c r="M47" s="51">
        <f t="shared" si="4"/>
        <v>1.3807440000000002</v>
      </c>
      <c r="N47" s="51">
        <f t="shared" si="5"/>
        <v>1.0398224568000001</v>
      </c>
      <c r="O47" s="51">
        <f t="shared" si="6"/>
        <v>-0.34092154320000012</v>
      </c>
      <c r="P47" s="51">
        <f t="shared" si="7"/>
        <v>0.34092154320000012</v>
      </c>
      <c r="Q47" s="52">
        <f t="shared" si="36"/>
        <v>-24.691147902869766</v>
      </c>
      <c r="R47" s="52">
        <f t="shared" si="37"/>
        <v>24.691147902869766</v>
      </c>
      <c r="T47" s="52">
        <v>61.763832290473289</v>
      </c>
      <c r="U47" s="52">
        <v>1.8999999999999999</v>
      </c>
      <c r="V47" s="52">
        <v>2.348519</v>
      </c>
      <c r="W47" s="52">
        <f t="shared" si="38"/>
        <v>0.44851900000000011</v>
      </c>
      <c r="X47" s="52">
        <f t="shared" si="39"/>
        <v>0.44851900000000011</v>
      </c>
      <c r="Y47" s="52">
        <f t="shared" si="21"/>
        <v>18.825616082136261</v>
      </c>
      <c r="Z47" s="52">
        <f t="shared" si="22"/>
        <v>0.57911999999999997</v>
      </c>
      <c r="AA47" s="52">
        <f t="shared" si="23"/>
        <v>0.71582859120000009</v>
      </c>
      <c r="AB47" s="52">
        <f t="shared" si="24"/>
        <v>0.13670859120000003</v>
      </c>
      <c r="AC47" s="52">
        <f t="shared" si="25"/>
        <v>0.13670859120000003</v>
      </c>
      <c r="AD47" s="52">
        <f t="shared" si="40"/>
        <v>23.606263157894745</v>
      </c>
      <c r="AE47" s="52">
        <f t="shared" si="41"/>
        <v>23.606263157894745</v>
      </c>
    </row>
    <row r="48">
      <c r="B48" s="46">
        <v>1041</v>
      </c>
      <c r="C48" s="46">
        <v>2204861.602</v>
      </c>
      <c r="D48" s="46">
        <v>6722586.0259999996</v>
      </c>
      <c r="E48" s="46">
        <v>130.37299999999999</v>
      </c>
      <c r="F48" s="46">
        <v>795</v>
      </c>
      <c r="G48" s="52">
        <v>71.038223914427263</v>
      </c>
      <c r="H48" s="46">
        <v>5.3099999999999996</v>
      </c>
      <c r="I48" s="46">
        <v>3.341647</v>
      </c>
      <c r="J48" s="46">
        <f t="shared" si="34"/>
        <v>-1.9683529999999996</v>
      </c>
      <c r="K48" s="46">
        <f t="shared" si="35"/>
        <v>1.9683529999999996</v>
      </c>
      <c r="L48" s="51">
        <f t="shared" si="3"/>
        <v>21.65245064911743</v>
      </c>
      <c r="M48" s="51">
        <f t="shared" si="4"/>
        <v>1.6184879999999999</v>
      </c>
      <c r="N48" s="51">
        <f t="shared" si="5"/>
        <v>1.0185340056000001</v>
      </c>
      <c r="O48" s="51">
        <f t="shared" si="6"/>
        <v>-0.59995399439999986</v>
      </c>
      <c r="P48" s="51">
        <f t="shared" si="7"/>
        <v>0.59995399439999986</v>
      </c>
      <c r="Q48" s="52">
        <f t="shared" si="36"/>
        <v>-37.068794726930314</v>
      </c>
      <c r="R48" s="52">
        <f t="shared" si="37"/>
        <v>37.068794726930314</v>
      </c>
      <c r="T48" s="52">
        <v>71.038223914427263</v>
      </c>
      <c r="U48" s="52">
        <v>2.0340959999999999</v>
      </c>
      <c r="V48" s="52">
        <v>2.511981</v>
      </c>
      <c r="W48" s="52">
        <f t="shared" si="38"/>
        <v>0.47788500000000012</v>
      </c>
      <c r="X48" s="52">
        <f t="shared" si="39"/>
        <v>0.47788500000000012</v>
      </c>
      <c r="Y48" s="52">
        <f t="shared" si="21"/>
        <v>21.65245064911743</v>
      </c>
      <c r="Z48" s="52">
        <f t="shared" si="22"/>
        <v>0.61999246080000003</v>
      </c>
      <c r="AA48" s="52">
        <f t="shared" si="23"/>
        <v>0.76565180880000006</v>
      </c>
      <c r="AB48" s="52">
        <f t="shared" si="24"/>
        <v>0.14565934800000005</v>
      </c>
      <c r="AC48" s="52">
        <f t="shared" si="25"/>
        <v>0.14565934800000005</v>
      </c>
      <c r="AD48" s="52">
        <f t="shared" si="40"/>
        <v>23.493728909550001</v>
      </c>
      <c r="AE48" s="52">
        <f t="shared" si="41"/>
        <v>23.493728909550001</v>
      </c>
    </row>
    <row r="49">
      <c r="B49" s="46">
        <v>1042</v>
      </c>
      <c r="C49" s="46">
        <v>2204867.73</v>
      </c>
      <c r="D49" s="46">
        <v>6722587.6160000004</v>
      </c>
      <c r="E49" s="46">
        <v>130.16800000000001</v>
      </c>
      <c r="F49" s="46">
        <v>795</v>
      </c>
      <c r="G49" s="52">
        <v>77.369138856424769</v>
      </c>
      <c r="H49" s="46">
        <v>4.5300000000000002</v>
      </c>
      <c r="I49" s="46">
        <v>3.1840980000000001</v>
      </c>
      <c r="J49" s="46">
        <f t="shared" si="34"/>
        <v>-1.3459020000000002</v>
      </c>
      <c r="K49" s="46">
        <f t="shared" si="35"/>
        <v>1.3459020000000002</v>
      </c>
      <c r="L49" s="51">
        <f t="shared" si="3"/>
        <v>23.58211352343827</v>
      </c>
      <c r="M49" s="51">
        <f t="shared" si="4"/>
        <v>1.3807440000000002</v>
      </c>
      <c r="N49" s="51">
        <f t="shared" si="5"/>
        <v>0.97051307040000012</v>
      </c>
      <c r="O49" s="51">
        <f t="shared" si="6"/>
        <v>-0.41023092960000007</v>
      </c>
      <c r="P49" s="51">
        <f t="shared" si="7"/>
        <v>0.41023092960000007</v>
      </c>
      <c r="Q49" s="52">
        <f t="shared" si="36"/>
        <v>-29.710860927152318</v>
      </c>
      <c r="R49" s="52">
        <f t="shared" si="37"/>
        <v>29.710860927152318</v>
      </c>
      <c r="T49" s="52">
        <v>77.369138856424769</v>
      </c>
      <c r="U49" s="52">
        <v>2.3999999999999999</v>
      </c>
      <c r="V49" s="52">
        <v>2.2966380000000002</v>
      </c>
      <c r="W49" s="52">
        <f t="shared" si="38"/>
        <v>-0.10336199999999973</v>
      </c>
      <c r="X49" s="52">
        <f t="shared" si="39"/>
        <v>0.10336199999999973</v>
      </c>
      <c r="Y49" s="52">
        <f t="shared" si="21"/>
        <v>23.58211352343827</v>
      </c>
      <c r="Z49" s="52">
        <f t="shared" si="22"/>
        <v>0.73152000000000006</v>
      </c>
      <c r="AA49" s="52">
        <f t="shared" si="23"/>
        <v>0.70001526240000012</v>
      </c>
      <c r="AB49" s="52">
        <f t="shared" si="24"/>
        <v>-0.031504737599999923</v>
      </c>
      <c r="AC49" s="52">
        <f t="shared" si="25"/>
        <v>0.031504737599999923</v>
      </c>
      <c r="AD49" s="52">
        <f t="shared" si="40"/>
        <v>-4.3067499999999894</v>
      </c>
      <c r="AE49" s="52">
        <f t="shared" si="41"/>
        <v>4.3067499999999894</v>
      </c>
    </row>
    <row r="50">
      <c r="B50" s="46">
        <v>1043</v>
      </c>
      <c r="C50" s="46">
        <v>2204876.0800000001</v>
      </c>
      <c r="D50" s="46">
        <v>6722588.4340000004</v>
      </c>
      <c r="E50" s="46">
        <v>130.52000000000001</v>
      </c>
      <c r="F50" s="46">
        <v>795</v>
      </c>
      <c r="G50" s="52">
        <v>85.759110489362897</v>
      </c>
      <c r="H50" s="46">
        <v>4.3300000000000001</v>
      </c>
      <c r="I50" s="46">
        <v>2.9072049999999998</v>
      </c>
      <c r="J50" s="46">
        <f t="shared" si="34"/>
        <v>-1.4227950000000003</v>
      </c>
      <c r="K50" s="46">
        <f t="shared" si="35"/>
        <v>1.4227950000000003</v>
      </c>
      <c r="L50" s="51">
        <f t="shared" si="3"/>
        <v>26.139376877157812</v>
      </c>
      <c r="M50" s="51">
        <f t="shared" si="4"/>
        <v>1.3197840000000001</v>
      </c>
      <c r="N50" s="51">
        <f t="shared" si="5"/>
        <v>0.88611608399999997</v>
      </c>
      <c r="O50" s="51">
        <f t="shared" si="6"/>
        <v>-0.4336679160000001</v>
      </c>
      <c r="P50" s="51">
        <f t="shared" si="7"/>
        <v>0.4336679160000001</v>
      </c>
      <c r="Q50" s="52">
        <f t="shared" si="36"/>
        <v>-32.859006928406465</v>
      </c>
      <c r="R50" s="52">
        <f t="shared" si="37"/>
        <v>32.859006928406465</v>
      </c>
      <c r="T50" s="52">
        <v>85.759110489362897</v>
      </c>
      <c r="U50" s="52">
        <v>2.0340959999999999</v>
      </c>
      <c r="V50" s="52">
        <v>2.003574</v>
      </c>
      <c r="W50" s="52">
        <f t="shared" si="38"/>
        <v>-0.030521999999999938</v>
      </c>
      <c r="X50" s="52">
        <f t="shared" si="39"/>
        <v>0.030521999999999938</v>
      </c>
      <c r="Y50" s="52">
        <f t="shared" si="21"/>
        <v>26.139376877157812</v>
      </c>
      <c r="Z50" s="52">
        <f t="shared" si="22"/>
        <v>0.61999246080000003</v>
      </c>
      <c r="AA50" s="52">
        <f t="shared" si="23"/>
        <v>0.61068935520000001</v>
      </c>
      <c r="AB50" s="52">
        <f t="shared" si="24"/>
        <v>-0.009303105599999981</v>
      </c>
      <c r="AC50" s="52">
        <f t="shared" si="25"/>
        <v>0.009303105599999981</v>
      </c>
      <c r="AD50" s="52">
        <f t="shared" si="40"/>
        <v>-1.5005191495386618</v>
      </c>
      <c r="AE50" s="52">
        <f t="shared" si="41"/>
        <v>1.5005191495386618</v>
      </c>
    </row>
    <row r="51">
      <c r="B51" s="46">
        <v>1044</v>
      </c>
      <c r="C51" s="46">
        <v>2204881.4640000002</v>
      </c>
      <c r="D51" s="46">
        <v>6722590.2419999996</v>
      </c>
      <c r="E51" s="46">
        <v>130.78800000000001</v>
      </c>
      <c r="F51" s="46">
        <v>795</v>
      </c>
      <c r="G51" s="52">
        <v>91.438575252716504</v>
      </c>
      <c r="H51" s="46">
        <v>3.9900000000000002</v>
      </c>
      <c r="I51" s="46">
        <v>2.6957939999999998</v>
      </c>
      <c r="J51" s="46">
        <f t="shared" si="34"/>
        <v>-1.2942060000000004</v>
      </c>
      <c r="K51" s="46">
        <f t="shared" si="35"/>
        <v>1.2942060000000004</v>
      </c>
      <c r="L51" s="51">
        <f t="shared" si="3"/>
        <v>27.870477737027993</v>
      </c>
      <c r="M51" s="51">
        <f t="shared" si="4"/>
        <v>1.2161520000000001</v>
      </c>
      <c r="N51" s="51">
        <f t="shared" si="5"/>
        <v>0.82167801119999995</v>
      </c>
      <c r="O51" s="51">
        <f t="shared" si="6"/>
        <v>-0.39447398880000012</v>
      </c>
      <c r="P51" s="51">
        <f t="shared" si="7"/>
        <v>0.39447398880000012</v>
      </c>
      <c r="Q51" s="52">
        <f t="shared" si="36"/>
        <v>-32.436240601503769</v>
      </c>
      <c r="R51" s="52">
        <f t="shared" si="37"/>
        <v>32.436240601503769</v>
      </c>
      <c r="T51" s="52">
        <v>91.438575252716504</v>
      </c>
      <c r="U51" s="52">
        <v>1.8999999999999999</v>
      </c>
      <c r="V51" s="52">
        <v>1.7972699999999999</v>
      </c>
      <c r="W51" s="52">
        <f t="shared" si="38"/>
        <v>-0.10272999999999999</v>
      </c>
      <c r="X51" s="52">
        <f t="shared" si="39"/>
        <v>0.10272999999999999</v>
      </c>
      <c r="Y51" s="52">
        <f t="shared" si="21"/>
        <v>27.870477737027993</v>
      </c>
      <c r="Z51" s="52">
        <f t="shared" si="22"/>
        <v>0.57911999999999997</v>
      </c>
      <c r="AA51" s="52">
        <f t="shared" si="23"/>
        <v>0.54780789600000002</v>
      </c>
      <c r="AB51" s="52">
        <f t="shared" si="24"/>
        <v>-0.031312104</v>
      </c>
      <c r="AC51" s="52">
        <f t="shared" si="25"/>
        <v>0.031312104</v>
      </c>
      <c r="AD51" s="52">
        <f t="shared" si="40"/>
        <v>-5.4068421052631583</v>
      </c>
      <c r="AE51" s="52">
        <f t="shared" si="41"/>
        <v>5.4068421052631583</v>
      </c>
    </row>
    <row r="52">
      <c r="B52" s="46">
        <v>1045</v>
      </c>
      <c r="C52" s="46">
        <v>2204889.1400000001</v>
      </c>
      <c r="D52" s="46">
        <v>6722591.7539999997</v>
      </c>
      <c r="E52" s="46">
        <v>130.67599999999999</v>
      </c>
      <c r="F52" s="46">
        <v>795</v>
      </c>
      <c r="G52" s="52">
        <v>99.26207319161648</v>
      </c>
      <c r="H52" s="46">
        <v>4.46</v>
      </c>
      <c r="I52" s="46">
        <v>2.3731399999999998</v>
      </c>
      <c r="J52" s="46">
        <f t="shared" si="34"/>
        <v>-2.0868600000000002</v>
      </c>
      <c r="K52" s="46">
        <f t="shared" si="35"/>
        <v>2.0868600000000002</v>
      </c>
      <c r="L52" s="51">
        <f t="shared" si="3"/>
        <v>30.255079908804703</v>
      </c>
      <c r="M52" s="51">
        <f t="shared" si="4"/>
        <v>1.3594079999999999</v>
      </c>
      <c r="N52" s="51">
        <f t="shared" si="5"/>
        <v>0.72333307199999997</v>
      </c>
      <c r="O52" s="51">
        <f t="shared" si="6"/>
        <v>-0.63607492800000009</v>
      </c>
      <c r="P52" s="51">
        <f t="shared" si="7"/>
        <v>0.63607492800000009</v>
      </c>
      <c r="Q52" s="52">
        <f t="shared" si="36"/>
        <v>-46.790582959641256</v>
      </c>
      <c r="R52" s="52">
        <f t="shared" si="37"/>
        <v>46.790582959641256</v>
      </c>
      <c r="T52" s="52">
        <v>99.26207319161648</v>
      </c>
      <c r="U52" s="52">
        <v>1.7388240000000001</v>
      </c>
      <c r="V52" s="52">
        <v>1.5090680000000001</v>
      </c>
      <c r="W52" s="52">
        <f t="shared" si="38"/>
        <v>-0.22975600000000007</v>
      </c>
      <c r="X52" s="52">
        <f t="shared" si="39"/>
        <v>0.22975600000000007</v>
      </c>
      <c r="Y52" s="52">
        <f t="shared" si="21"/>
        <v>30.255079908804703</v>
      </c>
      <c r="Z52" s="52">
        <f t="shared" si="22"/>
        <v>0.52999355520000002</v>
      </c>
      <c r="AA52" s="52">
        <f t="shared" si="23"/>
        <v>0.45996392640000006</v>
      </c>
      <c r="AB52" s="52">
        <f t="shared" si="24"/>
        <v>-0.070029628800000021</v>
      </c>
      <c r="AC52" s="52">
        <f t="shared" si="25"/>
        <v>0.070029628800000021</v>
      </c>
      <c r="AD52" s="52">
        <f t="shared" si="40"/>
        <v>-13.213298183139873</v>
      </c>
      <c r="AE52" s="52">
        <f t="shared" si="41"/>
        <v>13.213298183139873</v>
      </c>
    </row>
    <row r="53">
      <c r="B53" s="46">
        <v>1046</v>
      </c>
      <c r="C53" s="46">
        <v>2204896.4879999999</v>
      </c>
      <c r="D53" s="46">
        <v>6722592.9199999999</v>
      </c>
      <c r="E53" s="46">
        <v>131.01300000000001</v>
      </c>
      <c r="F53" s="46">
        <v>795</v>
      </c>
      <c r="G53" s="52">
        <v>106.702010019105</v>
      </c>
      <c r="H53" s="46">
        <v>3.3399999999999999</v>
      </c>
      <c r="I53" s="46">
        <v>2.0267750000000002</v>
      </c>
      <c r="J53" s="46">
        <f t="shared" si="34"/>
        <v>-1.3132249999999996</v>
      </c>
      <c r="K53" s="46">
        <f t="shared" si="35"/>
        <v>1.3132249999999996</v>
      </c>
      <c r="L53" s="51">
        <f t="shared" si="3"/>
        <v>32.522772653823203</v>
      </c>
      <c r="M53" s="51">
        <f t="shared" si="4"/>
        <v>1.018032</v>
      </c>
      <c r="N53" s="51">
        <f t="shared" si="5"/>
        <v>0.61776102000000011</v>
      </c>
      <c r="O53" s="51">
        <f t="shared" si="6"/>
        <v>-0.40027097999999989</v>
      </c>
      <c r="P53" s="51">
        <f t="shared" si="7"/>
        <v>0.40027097999999989</v>
      </c>
      <c r="Q53" s="52">
        <f t="shared" si="36"/>
        <v>-39.318113772455078</v>
      </c>
      <c r="R53" s="52">
        <f t="shared" si="37"/>
        <v>39.318113772455078</v>
      </c>
      <c r="T53" s="52">
        <v>106.702010019105</v>
      </c>
      <c r="U53" s="52">
        <v>1.5</v>
      </c>
      <c r="V53" s="52">
        <v>1.237862</v>
      </c>
      <c r="W53" s="52">
        <f t="shared" si="38"/>
        <v>-0.26213799999999998</v>
      </c>
      <c r="X53" s="52">
        <f t="shared" si="39"/>
        <v>0.26213799999999998</v>
      </c>
      <c r="Y53" s="52">
        <f t="shared" si="21"/>
        <v>32.522772653823203</v>
      </c>
      <c r="Z53" s="52">
        <f t="shared" si="22"/>
        <v>0.45720000000000005</v>
      </c>
      <c r="AA53" s="52">
        <f t="shared" si="23"/>
        <v>0.37730033760000004</v>
      </c>
      <c r="AB53" s="52">
        <f t="shared" si="24"/>
        <v>-0.079899662400000002</v>
      </c>
      <c r="AC53" s="52">
        <f t="shared" si="25"/>
        <v>0.079899662400000002</v>
      </c>
      <c r="AD53" s="52">
        <f t="shared" si="40"/>
        <v>-17.475866666666665</v>
      </c>
      <c r="AE53" s="52">
        <f t="shared" si="41"/>
        <v>17.475866666666665</v>
      </c>
    </row>
    <row r="54">
      <c r="B54" s="46">
        <v>1047</v>
      </c>
      <c r="C54" s="46">
        <v>2204903.3250000002</v>
      </c>
      <c r="D54" s="46">
        <v>6722594.2690000003</v>
      </c>
      <c r="E54" s="46">
        <v>131.38</v>
      </c>
      <c r="F54" s="46">
        <v>795</v>
      </c>
      <c r="G54" s="52">
        <v>113.67082412231071</v>
      </c>
      <c r="H54" s="46">
        <v>0.84999999999999998</v>
      </c>
      <c r="I54" s="46">
        <v>1.6842159999999999</v>
      </c>
      <c r="J54" s="46">
        <f t="shared" si="34"/>
        <v>0.83421599999999996</v>
      </c>
      <c r="K54" s="46">
        <f t="shared" si="35"/>
        <v>0.83421599999999996</v>
      </c>
      <c r="L54" s="51">
        <f t="shared" si="3"/>
        <v>34.646867192480308</v>
      </c>
      <c r="M54" s="51">
        <f t="shared" si="4"/>
        <v>0.25908000000000003</v>
      </c>
      <c r="N54" s="51">
        <f t="shared" si="5"/>
        <v>0.51334903679999999</v>
      </c>
      <c r="O54" s="51">
        <f t="shared" si="6"/>
        <v>0.25426903680000001</v>
      </c>
      <c r="P54" s="51">
        <f t="shared" si="7"/>
        <v>0.25426903680000001</v>
      </c>
      <c r="Q54" s="52">
        <f t="shared" si="36"/>
        <v>98.143058823529415</v>
      </c>
      <c r="R54" s="52">
        <f t="shared" si="37"/>
        <v>98.143058823529415</v>
      </c>
      <c r="T54" s="52">
        <v>113.67082412231071</v>
      </c>
      <c r="U54" s="52">
        <v>0.8530080000000001</v>
      </c>
      <c r="V54" s="52">
        <v>0.98684499999999997</v>
      </c>
      <c r="W54" s="52">
        <f t="shared" si="38"/>
        <v>0.13383699999999987</v>
      </c>
      <c r="X54" s="52">
        <f t="shared" si="39"/>
        <v>0.13383699999999987</v>
      </c>
      <c r="Y54" s="52">
        <f t="shared" si="21"/>
        <v>34.646867192480308</v>
      </c>
      <c r="Z54" s="52">
        <f t="shared" si="22"/>
        <v>0.25999683840000004</v>
      </c>
      <c r="AA54" s="52">
        <f t="shared" si="23"/>
        <v>0.30079035599999998</v>
      </c>
      <c r="AB54" s="52">
        <f t="shared" si="24"/>
        <v>0.040793517599999961</v>
      </c>
      <c r="AC54" s="52">
        <f t="shared" si="25"/>
        <v>0.040793517599999961</v>
      </c>
      <c r="AD54" s="52">
        <f t="shared" si="40"/>
        <v>15.690005252002308</v>
      </c>
      <c r="AE54" s="52">
        <f t="shared" si="41"/>
        <v>15.690005252002308</v>
      </c>
    </row>
    <row r="55" s="72" customFormat="1">
      <c r="A55" s="75" t="s">
        <v>48</v>
      </c>
      <c r="B55" s="72">
        <v>1048</v>
      </c>
      <c r="C55" s="72">
        <v>2208209.5819999999</v>
      </c>
      <c r="D55" s="72">
        <v>6731085.8789999997</v>
      </c>
      <c r="E55" s="72">
        <v>149.827</v>
      </c>
      <c r="F55" s="72">
        <v>795</v>
      </c>
      <c r="G55" s="74">
        <v>17.337320352605968</v>
      </c>
      <c r="H55" s="72">
        <v>0</v>
      </c>
      <c r="I55" s="72">
        <v>0.66914700000000005</v>
      </c>
      <c r="J55" s="72">
        <f t="shared" ref="J55:J68" si="42">I55-H55</f>
        <v>0.66914700000000005</v>
      </c>
      <c r="K55" s="72">
        <f t="shared" ref="K55:K67" si="43">ABS(J55)</f>
        <v>0.66914700000000005</v>
      </c>
      <c r="L55" s="73">
        <f t="shared" si="3"/>
        <v>5.2844152434742995</v>
      </c>
      <c r="M55" s="73">
        <f t="shared" si="4"/>
        <v>0</v>
      </c>
      <c r="N55" s="73">
        <f t="shared" si="5"/>
        <v>0.20395600560000002</v>
      </c>
      <c r="O55" s="73">
        <f t="shared" si="6"/>
        <v>0.20395600560000002</v>
      </c>
      <c r="P55" s="73">
        <f t="shared" si="7"/>
        <v>0.20395600560000002</v>
      </c>
      <c r="Q55" s="74"/>
      <c r="R55" s="74"/>
      <c r="T55" s="74">
        <v>17.337320352605968</v>
      </c>
      <c r="U55" s="74">
        <v>0.39369599999999999</v>
      </c>
      <c r="V55" s="74">
        <v>0.56207499999999999</v>
      </c>
      <c r="W55" s="74">
        <f t="shared" ref="W55:W68" si="44">V55-U55</f>
        <v>0.168379</v>
      </c>
      <c r="X55" s="74">
        <f t="shared" ref="X55:X67" si="45">ABS(W55)</f>
        <v>0.168379</v>
      </c>
      <c r="Y55" s="74">
        <f t="shared" si="21"/>
        <v>5.2844152434742995</v>
      </c>
      <c r="Z55" s="74">
        <f t="shared" si="22"/>
        <v>0.1199985408</v>
      </c>
      <c r="AA55" s="74">
        <f t="shared" si="23"/>
        <v>0.17132046000000001</v>
      </c>
      <c r="AB55" s="74">
        <f t="shared" si="24"/>
        <v>0.051321919200000003</v>
      </c>
      <c r="AC55" s="74">
        <f t="shared" si="25"/>
        <v>0.051321919200000003</v>
      </c>
      <c r="AD55" s="74">
        <f t="shared" ref="AD55:AD68" si="46">100*W55/U55</f>
        <v>42.768786068438594</v>
      </c>
      <c r="AE55" s="74">
        <f t="shared" si="41"/>
        <v>42.768786068438594</v>
      </c>
    </row>
    <row r="56">
      <c r="B56" s="46">
        <v>1049</v>
      </c>
      <c r="C56" s="46">
        <v>2208197.8080000002</v>
      </c>
      <c r="D56" s="46">
        <v>6731089.5530000003</v>
      </c>
      <c r="E56" s="46">
        <v>149.54300000000001</v>
      </c>
      <c r="F56" s="46">
        <v>795</v>
      </c>
      <c r="G56" s="52">
        <v>29.671231005688281</v>
      </c>
      <c r="H56" s="46">
        <v>0.56000000000000005</v>
      </c>
      <c r="I56" s="46">
        <v>1.0346649999999999</v>
      </c>
      <c r="J56" s="46">
        <f t="shared" si="42"/>
        <v>0.47466499999999989</v>
      </c>
      <c r="K56" s="46">
        <f t="shared" si="43"/>
        <v>0.47466499999999989</v>
      </c>
      <c r="L56" s="51">
        <f t="shared" si="3"/>
        <v>9.0437912105337883</v>
      </c>
      <c r="M56" s="51">
        <f t="shared" si="4"/>
        <v>0.17068800000000003</v>
      </c>
      <c r="N56" s="51">
        <f t="shared" si="5"/>
        <v>0.31536589199999998</v>
      </c>
      <c r="O56" s="51">
        <f t="shared" si="6"/>
        <v>0.14467789199999997</v>
      </c>
      <c r="P56" s="51">
        <f t="shared" si="7"/>
        <v>0.14467789199999997</v>
      </c>
      <c r="Q56" s="52">
        <f t="shared" ref="Q56:Q68" si="47">100*J56/H56</f>
        <v>84.761607142857116</v>
      </c>
      <c r="R56" s="52">
        <f t="shared" ref="R56:R68" si="48">ABS(Q56)</f>
        <v>84.761607142857116</v>
      </c>
      <c r="T56" s="52">
        <v>29.671231005688281</v>
      </c>
      <c r="U56" s="52">
        <v>0.42650400000000005</v>
      </c>
      <c r="V56" s="52">
        <v>1.071464</v>
      </c>
      <c r="W56" s="52">
        <f t="shared" si="44"/>
        <v>0.64495999999999998</v>
      </c>
      <c r="X56" s="52">
        <f t="shared" si="45"/>
        <v>0.64495999999999998</v>
      </c>
      <c r="Y56" s="52">
        <f t="shared" si="21"/>
        <v>9.0437912105337883</v>
      </c>
      <c r="Z56" s="52">
        <f t="shared" si="22"/>
        <v>0.12999841920000002</v>
      </c>
      <c r="AA56" s="52">
        <f t="shared" si="23"/>
        <v>0.32658222720000002</v>
      </c>
      <c r="AB56" s="52">
        <f t="shared" si="24"/>
        <v>0.196583808</v>
      </c>
      <c r="AC56" s="52">
        <f t="shared" si="25"/>
        <v>0.196583808</v>
      </c>
      <c r="AD56" s="52">
        <f t="shared" si="46"/>
        <v>151.22015268321044</v>
      </c>
      <c r="AE56" s="52">
        <f t="shared" si="41"/>
        <v>151.22015268321044</v>
      </c>
    </row>
    <row r="57">
      <c r="B57" s="46">
        <v>1050</v>
      </c>
      <c r="C57" s="46">
        <v>2208186.3930000002</v>
      </c>
      <c r="D57" s="46">
        <v>6731094.8030000003</v>
      </c>
      <c r="E57" s="46">
        <v>149.47200000000001</v>
      </c>
      <c r="F57" s="46">
        <v>795</v>
      </c>
      <c r="G57" s="52">
        <v>42.2356539928712</v>
      </c>
      <c r="H57" s="46">
        <v>1.1100000000000001</v>
      </c>
      <c r="I57" s="46">
        <v>1.4383140000000001</v>
      </c>
      <c r="J57" s="46">
        <f t="shared" si="42"/>
        <v>0.32831399999999999</v>
      </c>
      <c r="K57" s="46">
        <f t="shared" si="43"/>
        <v>0.32831399999999999</v>
      </c>
      <c r="L57" s="51">
        <f t="shared" si="3"/>
        <v>12.873427337027142</v>
      </c>
      <c r="M57" s="51">
        <f t="shared" si="4"/>
        <v>0.33832800000000007</v>
      </c>
      <c r="N57" s="51">
        <f t="shared" si="5"/>
        <v>0.43839810720000005</v>
      </c>
      <c r="O57" s="51">
        <f t="shared" si="6"/>
        <v>0.10007010720000001</v>
      </c>
      <c r="P57" s="51">
        <f t="shared" si="7"/>
        <v>0.10007010720000001</v>
      </c>
      <c r="Q57" s="52">
        <f t="shared" si="47"/>
        <v>29.577837837837837</v>
      </c>
      <c r="R57" s="52">
        <f t="shared" si="48"/>
        <v>29.577837837837837</v>
      </c>
      <c r="T57" s="52">
        <v>42.2356539928712</v>
      </c>
      <c r="U57" s="52">
        <v>0.84999999999999998</v>
      </c>
      <c r="V57" s="52">
        <v>1.3565590000000001</v>
      </c>
      <c r="W57" s="52">
        <f t="shared" si="44"/>
        <v>0.50655900000000009</v>
      </c>
      <c r="X57" s="52">
        <f t="shared" si="45"/>
        <v>0.50655900000000009</v>
      </c>
      <c r="Y57" s="52">
        <f t="shared" si="21"/>
        <v>12.873427337027142</v>
      </c>
      <c r="Z57" s="52">
        <f t="shared" si="22"/>
        <v>0.25908000000000003</v>
      </c>
      <c r="AA57" s="52">
        <f t="shared" si="23"/>
        <v>0.41347918320000004</v>
      </c>
      <c r="AB57" s="52">
        <f t="shared" si="24"/>
        <v>0.15439918320000004</v>
      </c>
      <c r="AC57" s="52">
        <f t="shared" si="25"/>
        <v>0.15439918320000004</v>
      </c>
      <c r="AD57" s="52">
        <f t="shared" si="46"/>
        <v>59.59517647058825</v>
      </c>
      <c r="AE57" s="52">
        <f t="shared" si="41"/>
        <v>59.59517647058825</v>
      </c>
    </row>
    <row r="58">
      <c r="B58" s="46">
        <v>1051</v>
      </c>
      <c r="C58" s="46">
        <v>2208176.2549999999</v>
      </c>
      <c r="D58" s="46">
        <v>6731097.7010000004</v>
      </c>
      <c r="E58" s="46">
        <v>149.167</v>
      </c>
      <c r="F58" s="46">
        <v>795</v>
      </c>
      <c r="G58" s="52">
        <v>52.779725692442362</v>
      </c>
      <c r="H58" s="46">
        <v>1.8700000000000001</v>
      </c>
      <c r="I58" s="46">
        <v>1.7900499999999999</v>
      </c>
      <c r="J58" s="46">
        <f t="shared" si="42"/>
        <v>-0.079950000000000188</v>
      </c>
      <c r="K58" s="46">
        <f t="shared" si="43"/>
        <v>0.079950000000000188</v>
      </c>
      <c r="L58" s="51">
        <f t="shared" si="3"/>
        <v>16.087260391056432</v>
      </c>
      <c r="M58" s="51">
        <f t="shared" si="4"/>
        <v>0.56997600000000004</v>
      </c>
      <c r="N58" s="51">
        <f t="shared" si="5"/>
        <v>0.54560724000000005</v>
      </c>
      <c r="O58" s="51">
        <f t="shared" si="6"/>
        <v>-0.024368760000000059</v>
      </c>
      <c r="P58" s="51">
        <f t="shared" si="7"/>
        <v>0.024368760000000059</v>
      </c>
      <c r="Q58" s="52">
        <f t="shared" si="47"/>
        <v>-4.2754010695187263</v>
      </c>
      <c r="R58" s="52">
        <f t="shared" si="48"/>
        <v>4.2754010695187263</v>
      </c>
      <c r="T58" s="52">
        <v>52.779725692442362</v>
      </c>
      <c r="U58" s="52">
        <v>1.246704</v>
      </c>
      <c r="V58" s="52">
        <v>1.3836520000000001</v>
      </c>
      <c r="W58" s="52">
        <f t="shared" si="44"/>
        <v>0.13694800000000007</v>
      </c>
      <c r="X58" s="52">
        <f t="shared" si="45"/>
        <v>0.13694800000000007</v>
      </c>
      <c r="Y58" s="52">
        <f t="shared" si="21"/>
        <v>16.087260391056432</v>
      </c>
      <c r="Z58" s="52">
        <f t="shared" si="22"/>
        <v>0.37999537920000004</v>
      </c>
      <c r="AA58" s="52">
        <f t="shared" si="23"/>
        <v>0.42173712960000004</v>
      </c>
      <c r="AB58" s="52">
        <f t="shared" si="24"/>
        <v>0.04174175040000002</v>
      </c>
      <c r="AC58" s="52">
        <f t="shared" si="25"/>
        <v>0.04174175040000002</v>
      </c>
      <c r="AD58" s="52">
        <f t="shared" si="46"/>
        <v>10.984804733120297</v>
      </c>
      <c r="AE58" s="52">
        <f t="shared" si="41"/>
        <v>10.984804733120297</v>
      </c>
    </row>
    <row r="59">
      <c r="B59" s="46">
        <v>1052</v>
      </c>
      <c r="C59" s="46">
        <v>2208164.148</v>
      </c>
      <c r="D59" s="46">
        <v>6731104.1430000002</v>
      </c>
      <c r="E59" s="46">
        <v>148.71299999999999</v>
      </c>
      <c r="F59" s="46">
        <v>795</v>
      </c>
      <c r="G59" s="52">
        <v>66.49390860626248</v>
      </c>
      <c r="H59" s="46">
        <v>2.5299999999999998</v>
      </c>
      <c r="I59" s="46">
        <v>2.2791139999999999</v>
      </c>
      <c r="J59" s="46">
        <f t="shared" si="42"/>
        <v>-0.25088599999999994</v>
      </c>
      <c r="K59" s="46">
        <f t="shared" si="43"/>
        <v>0.25088599999999994</v>
      </c>
      <c r="L59" s="51">
        <f t="shared" si="3"/>
        <v>20.267343343188806</v>
      </c>
      <c r="M59" s="51">
        <f t="shared" si="4"/>
        <v>0.77114399999999994</v>
      </c>
      <c r="N59" s="51">
        <f t="shared" si="5"/>
        <v>0.69467394719999997</v>
      </c>
      <c r="O59" s="51">
        <f t="shared" si="6"/>
        <v>-0.07647005279999998</v>
      </c>
      <c r="P59" s="51">
        <f t="shared" si="7"/>
        <v>0.07647005279999998</v>
      </c>
      <c r="Q59" s="52">
        <f t="shared" si="47"/>
        <v>-9.9164426877470326</v>
      </c>
      <c r="R59" s="52">
        <f t="shared" si="48"/>
        <v>9.9164426877470326</v>
      </c>
      <c r="T59" s="52">
        <v>66.49390860626248</v>
      </c>
      <c r="U59" s="52">
        <v>1.6499999999999999</v>
      </c>
      <c r="V59" s="52">
        <v>1.2503340000000001</v>
      </c>
      <c r="W59" s="52">
        <f t="shared" si="44"/>
        <v>-0.39966599999999985</v>
      </c>
      <c r="X59" s="52">
        <f t="shared" si="45"/>
        <v>0.39966599999999985</v>
      </c>
      <c r="Y59" s="52">
        <f t="shared" si="21"/>
        <v>20.267343343188806</v>
      </c>
      <c r="Z59" s="52">
        <f t="shared" si="22"/>
        <v>0.50292000000000003</v>
      </c>
      <c r="AA59" s="52">
        <f t="shared" si="23"/>
        <v>0.38110180320000003</v>
      </c>
      <c r="AB59" s="52">
        <f t="shared" si="24"/>
        <v>-0.12181819679999996</v>
      </c>
      <c r="AC59" s="52">
        <f t="shared" si="25"/>
        <v>0.12181819679999996</v>
      </c>
      <c r="AD59" s="52">
        <f t="shared" si="46"/>
        <v>-24.222181818181809</v>
      </c>
      <c r="AE59" s="52">
        <f t="shared" si="41"/>
        <v>24.222181818181809</v>
      </c>
    </row>
    <row r="60">
      <c r="B60" s="46">
        <v>1053</v>
      </c>
      <c r="C60" s="46">
        <v>2208151.1719999998</v>
      </c>
      <c r="D60" s="46">
        <v>6731110.4019999998</v>
      </c>
      <c r="E60" s="46">
        <v>148.363</v>
      </c>
      <c r="F60" s="46">
        <v>795</v>
      </c>
      <c r="G60" s="52">
        <v>80.900561826279301</v>
      </c>
      <c r="H60" s="46">
        <v>3.1200000000000001</v>
      </c>
      <c r="I60" s="46">
        <v>2.9620519999999999</v>
      </c>
      <c r="J60" s="46">
        <f t="shared" si="42"/>
        <v>-0.1579480000000002</v>
      </c>
      <c r="K60" s="46">
        <f t="shared" si="43"/>
        <v>0.1579480000000002</v>
      </c>
      <c r="L60" s="51">
        <f t="shared" si="3"/>
        <v>24.658491244649934</v>
      </c>
      <c r="M60" s="51">
        <f t="shared" si="4"/>
        <v>0.95097600000000004</v>
      </c>
      <c r="N60" s="51">
        <f t="shared" si="5"/>
        <v>0.9028334496</v>
      </c>
      <c r="O60" s="51">
        <f t="shared" si="6"/>
        <v>-0.04814255040000006</v>
      </c>
      <c r="P60" s="51">
        <f t="shared" si="7"/>
        <v>0.04814255040000006</v>
      </c>
      <c r="Q60" s="52">
        <f t="shared" si="47"/>
        <v>-5.0624358974359041</v>
      </c>
      <c r="R60" s="52">
        <f t="shared" si="48"/>
        <v>5.0624358974359041</v>
      </c>
      <c r="T60" s="52">
        <v>80.900561826279301</v>
      </c>
      <c r="U60" s="52">
        <v>2.13252</v>
      </c>
      <c r="V60" s="52">
        <v>2.3936069999999998</v>
      </c>
      <c r="W60" s="52">
        <f t="shared" si="44"/>
        <v>0.26108699999999985</v>
      </c>
      <c r="X60" s="52">
        <f t="shared" si="45"/>
        <v>0.26108699999999985</v>
      </c>
      <c r="Y60" s="52">
        <f t="shared" si="21"/>
        <v>24.658491244649934</v>
      </c>
      <c r="Z60" s="52">
        <f t="shared" si="22"/>
        <v>0.64999209600000007</v>
      </c>
      <c r="AA60" s="52">
        <f t="shared" si="23"/>
        <v>0.7295714136</v>
      </c>
      <c r="AB60" s="52">
        <f t="shared" si="24"/>
        <v>0.079579317599999963</v>
      </c>
      <c r="AC60" s="52">
        <f t="shared" si="25"/>
        <v>0.079579317599999963</v>
      </c>
      <c r="AD60" s="52">
        <f t="shared" si="46"/>
        <v>12.24312081481064</v>
      </c>
      <c r="AE60" s="52">
        <f t="shared" si="41"/>
        <v>12.24312081481064</v>
      </c>
    </row>
    <row r="61">
      <c r="B61" s="46">
        <v>1054</v>
      </c>
      <c r="C61" s="46">
        <v>2208140.6340000001</v>
      </c>
      <c r="D61" s="46">
        <v>6731114.5039999997</v>
      </c>
      <c r="E61" s="46">
        <v>148.072</v>
      </c>
      <c r="F61" s="46">
        <v>795</v>
      </c>
      <c r="G61" s="52">
        <v>92.208782198800748</v>
      </c>
      <c r="H61" s="46">
        <v>3.1200000000000001</v>
      </c>
      <c r="I61" s="46">
        <v>3.3187229999999999</v>
      </c>
      <c r="J61" s="46">
        <f t="shared" si="42"/>
        <v>0.19872299999999976</v>
      </c>
      <c r="K61" s="46">
        <f t="shared" si="43"/>
        <v>0.19872299999999976</v>
      </c>
      <c r="L61" s="51">
        <f t="shared" si="3"/>
        <v>28.10523681419447</v>
      </c>
      <c r="M61" s="51">
        <f t="shared" si="4"/>
        <v>0.95097600000000004</v>
      </c>
      <c r="N61" s="51">
        <f t="shared" si="5"/>
        <v>1.0115467704000001</v>
      </c>
      <c r="O61" s="51">
        <f t="shared" si="6"/>
        <v>0.060570770399999932</v>
      </c>
      <c r="P61" s="51">
        <f t="shared" si="7"/>
        <v>0.060570770399999932</v>
      </c>
      <c r="Q61" s="52">
        <f t="shared" si="47"/>
        <v>6.3693269230769145</v>
      </c>
      <c r="R61" s="52">
        <f t="shared" si="48"/>
        <v>6.3693269230769145</v>
      </c>
      <c r="T61" s="52">
        <v>92.208782198800748</v>
      </c>
      <c r="U61" s="52">
        <v>2.1499999999999999</v>
      </c>
      <c r="V61" s="52">
        <v>2.1736260000000001</v>
      </c>
      <c r="W61" s="52">
        <f t="shared" si="44"/>
        <v>0.023626000000000147</v>
      </c>
      <c r="X61" s="52">
        <f t="shared" si="45"/>
        <v>0.023626000000000147</v>
      </c>
      <c r="Y61" s="52">
        <f t="shared" si="21"/>
        <v>28.10523681419447</v>
      </c>
      <c r="Z61" s="52">
        <f t="shared" si="22"/>
        <v>0.65532000000000001</v>
      </c>
      <c r="AA61" s="52">
        <f t="shared" si="23"/>
        <v>0.6625212048000001</v>
      </c>
      <c r="AB61" s="52">
        <f t="shared" si="24"/>
        <v>0.0072012048000000455</v>
      </c>
      <c r="AC61" s="52">
        <f t="shared" si="25"/>
        <v>0.0072012048000000455</v>
      </c>
      <c r="AD61" s="52">
        <f t="shared" si="46"/>
        <v>1.0988837209302393</v>
      </c>
      <c r="AE61" s="52">
        <f t="shared" si="41"/>
        <v>1.0988837209302393</v>
      </c>
    </row>
    <row r="62">
      <c r="B62" s="46">
        <v>1055</v>
      </c>
      <c r="C62" s="46">
        <v>2208129.6349999998</v>
      </c>
      <c r="D62" s="46">
        <v>6731119.8370000003</v>
      </c>
      <c r="E62" s="46">
        <v>148.197</v>
      </c>
      <c r="F62" s="46">
        <v>795</v>
      </c>
      <c r="G62" s="52">
        <v>104.4324841753984</v>
      </c>
      <c r="H62" s="46">
        <v>3.6400000000000001</v>
      </c>
      <c r="I62" s="46">
        <v>3.4102359999999998</v>
      </c>
      <c r="J62" s="46">
        <f t="shared" si="42"/>
        <v>-0.2297640000000003</v>
      </c>
      <c r="K62" s="46">
        <f t="shared" si="43"/>
        <v>0.2297640000000003</v>
      </c>
      <c r="L62" s="51">
        <f t="shared" si="3"/>
        <v>31.831021176661434</v>
      </c>
      <c r="M62" s="51">
        <f t="shared" si="4"/>
        <v>1.109472</v>
      </c>
      <c r="N62" s="51">
        <f t="shared" si="5"/>
        <v>1.0394399327999999</v>
      </c>
      <c r="O62" s="51">
        <f t="shared" si="6"/>
        <v>-0.070032067200000089</v>
      </c>
      <c r="P62" s="51">
        <f t="shared" si="7"/>
        <v>0.070032067200000089</v>
      </c>
      <c r="Q62" s="52">
        <f t="shared" si="47"/>
        <v>-6.3121978021978107</v>
      </c>
      <c r="R62" s="52">
        <f t="shared" si="48"/>
        <v>6.3121978021978107</v>
      </c>
      <c r="T62" s="52">
        <v>104.4324841753984</v>
      </c>
      <c r="U62" s="52">
        <v>2.2309440000000005</v>
      </c>
      <c r="V62" s="52">
        <v>2.9959500000000001</v>
      </c>
      <c r="W62" s="52">
        <f t="shared" si="44"/>
        <v>0.76500599999999963</v>
      </c>
      <c r="X62" s="52">
        <f t="shared" si="45"/>
        <v>0.76500599999999963</v>
      </c>
      <c r="Y62" s="52">
        <f t="shared" si="21"/>
        <v>31.831021176661434</v>
      </c>
      <c r="Z62" s="52">
        <f t="shared" si="22"/>
        <v>0.67999173120000023</v>
      </c>
      <c r="AA62" s="52">
        <f t="shared" si="23"/>
        <v>0.91316556000000004</v>
      </c>
      <c r="AB62" s="52">
        <f t="shared" si="24"/>
        <v>0.2331738287999999</v>
      </c>
      <c r="AC62" s="52">
        <f t="shared" si="25"/>
        <v>0.2331738287999999</v>
      </c>
      <c r="AD62" s="52">
        <f t="shared" si="46"/>
        <v>34.290685915917187</v>
      </c>
      <c r="AE62" s="52">
        <f t="shared" si="41"/>
        <v>34.290685915917187</v>
      </c>
    </row>
    <row r="63">
      <c r="B63" s="46">
        <v>1056</v>
      </c>
      <c r="C63" s="46">
        <v>2208118.7769999998</v>
      </c>
      <c r="D63" s="46">
        <v>6731125.0800000001</v>
      </c>
      <c r="E63" s="46">
        <v>148.029</v>
      </c>
      <c r="F63" s="46">
        <v>795</v>
      </c>
      <c r="G63" s="52">
        <v>116.49006324409606</v>
      </c>
      <c r="H63" s="46">
        <v>2.5800000000000001</v>
      </c>
      <c r="I63" s="46">
        <v>3.3575979999999999</v>
      </c>
      <c r="J63" s="46">
        <f t="shared" si="42"/>
        <v>0.77759799999999979</v>
      </c>
      <c r="K63" s="46">
        <f t="shared" si="43"/>
        <v>0.77759799999999979</v>
      </c>
      <c r="L63" s="51">
        <f t="shared" si="3"/>
        <v>35.50617127680048</v>
      </c>
      <c r="M63" s="51">
        <f t="shared" si="4"/>
        <v>0.78638400000000008</v>
      </c>
      <c r="N63" s="51">
        <f t="shared" si="5"/>
        <v>1.0233958703999999</v>
      </c>
      <c r="O63" s="51">
        <f t="shared" si="6"/>
        <v>0.23701187039999994</v>
      </c>
      <c r="P63" s="51">
        <f t="shared" si="7"/>
        <v>0.23701187039999994</v>
      </c>
      <c r="Q63" s="52">
        <f t="shared" si="47"/>
        <v>30.139457364341077</v>
      </c>
      <c r="R63" s="52">
        <f t="shared" si="48"/>
        <v>30.139457364341077</v>
      </c>
      <c r="T63" s="52">
        <v>116.49006324409606</v>
      </c>
      <c r="U63" s="52">
        <v>2.3999999999999999</v>
      </c>
      <c r="V63" s="52">
        <v>2.3231039999999998</v>
      </c>
      <c r="W63" s="52">
        <f t="shared" si="44"/>
        <v>-0.076896000000000075</v>
      </c>
      <c r="X63" s="52">
        <f t="shared" si="45"/>
        <v>0.076896000000000075</v>
      </c>
      <c r="Y63" s="52">
        <f t="shared" si="21"/>
        <v>35.50617127680048</v>
      </c>
      <c r="Z63" s="52">
        <f t="shared" si="22"/>
        <v>0.73152000000000006</v>
      </c>
      <c r="AA63" s="52">
        <f t="shared" si="23"/>
        <v>0.70808209919999998</v>
      </c>
      <c r="AB63" s="52">
        <f t="shared" si="24"/>
        <v>-0.023437900800000026</v>
      </c>
      <c r="AC63" s="52">
        <f t="shared" si="25"/>
        <v>0.023437900800000026</v>
      </c>
      <c r="AD63" s="52">
        <f t="shared" si="46"/>
        <v>-3.2040000000000033</v>
      </c>
      <c r="AE63" s="52">
        <f t="shared" si="41"/>
        <v>3.2040000000000033</v>
      </c>
    </row>
    <row r="64">
      <c r="B64" s="46">
        <v>1057</v>
      </c>
      <c r="C64" s="46">
        <v>2208106.466</v>
      </c>
      <c r="D64" s="46">
        <v>6731129.6119999997</v>
      </c>
      <c r="E64" s="46">
        <v>147.98099999999999</v>
      </c>
      <c r="F64" s="46">
        <v>795</v>
      </c>
      <c r="G64" s="52">
        <v>129.60874248367043</v>
      </c>
      <c r="H64" s="46">
        <v>3.77</v>
      </c>
      <c r="I64" s="46">
        <v>3.44719</v>
      </c>
      <c r="J64" s="46">
        <f t="shared" si="42"/>
        <v>-0.32281000000000004</v>
      </c>
      <c r="K64" s="46">
        <f t="shared" si="43"/>
        <v>0.32281000000000004</v>
      </c>
      <c r="L64" s="51">
        <f t="shared" si="3"/>
        <v>39.504744709022745</v>
      </c>
      <c r="M64" s="51">
        <f t="shared" si="4"/>
        <v>1.1490960000000001</v>
      </c>
      <c r="N64" s="51">
        <f t="shared" si="5"/>
        <v>1.0507035120000001</v>
      </c>
      <c r="O64" s="51">
        <f t="shared" si="6"/>
        <v>-0.098392488000000014</v>
      </c>
      <c r="P64" s="51">
        <f t="shared" si="7"/>
        <v>0.098392488000000014</v>
      </c>
      <c r="Q64" s="52">
        <f t="shared" si="47"/>
        <v>-8.562599469496023</v>
      </c>
      <c r="R64" s="52">
        <f t="shared" si="48"/>
        <v>8.562599469496023</v>
      </c>
      <c r="T64" s="52">
        <v>129.60874248367043</v>
      </c>
      <c r="U64" s="52">
        <v>2.2965599999999999</v>
      </c>
      <c r="V64" s="52">
        <v>2.1927910000000002</v>
      </c>
      <c r="W64" s="52">
        <f t="shared" si="44"/>
        <v>-0.10376899999999978</v>
      </c>
      <c r="X64" s="52">
        <f t="shared" si="45"/>
        <v>0.10376899999999978</v>
      </c>
      <c r="Y64" s="52">
        <f t="shared" si="21"/>
        <v>39.504744709022745</v>
      </c>
      <c r="Z64" s="52">
        <f t="shared" si="22"/>
        <v>0.699991488</v>
      </c>
      <c r="AA64" s="52">
        <f t="shared" si="23"/>
        <v>0.66836269680000004</v>
      </c>
      <c r="AB64" s="52">
        <f t="shared" si="24"/>
        <v>-0.031628791199999937</v>
      </c>
      <c r="AC64" s="52">
        <f t="shared" si="25"/>
        <v>0.031628791199999937</v>
      </c>
      <c r="AD64" s="52">
        <f t="shared" si="46"/>
        <v>-4.5184536872539702</v>
      </c>
      <c r="AE64" s="52">
        <f t="shared" si="41"/>
        <v>4.5184536872539702</v>
      </c>
    </row>
    <row r="65">
      <c r="B65" s="46">
        <v>1058</v>
      </c>
      <c r="C65" s="46">
        <v>2208092.9419999998</v>
      </c>
      <c r="D65" s="46">
        <v>6731136.6799999997</v>
      </c>
      <c r="E65" s="46">
        <v>147.83699999999999</v>
      </c>
      <c r="F65" s="46">
        <v>795</v>
      </c>
      <c r="G65" s="52">
        <v>144.86833618747596</v>
      </c>
      <c r="H65" s="46">
        <v>2.4199999999999999</v>
      </c>
      <c r="I65" s="46">
        <v>3.4021590000000002</v>
      </c>
      <c r="J65" s="46">
        <f t="shared" si="42"/>
        <v>0.98215900000000023</v>
      </c>
      <c r="K65" s="46">
        <f t="shared" si="43"/>
        <v>0.98215900000000023</v>
      </c>
      <c r="L65" s="51">
        <f t="shared" si="3"/>
        <v>44.155868869942672</v>
      </c>
      <c r="M65" s="51">
        <f t="shared" si="4"/>
        <v>0.73761600000000005</v>
      </c>
      <c r="N65" s="51">
        <f t="shared" si="5"/>
        <v>1.0369780632000001</v>
      </c>
      <c r="O65" s="51">
        <f t="shared" si="6"/>
        <v>0.29936206320000008</v>
      </c>
      <c r="P65" s="51">
        <f t="shared" si="7"/>
        <v>0.29936206320000008</v>
      </c>
      <c r="Q65" s="52">
        <f t="shared" si="47"/>
        <v>40.585082644628109</v>
      </c>
      <c r="R65" s="52">
        <f t="shared" si="48"/>
        <v>40.585082644628109</v>
      </c>
      <c r="T65" s="52">
        <v>144.86833618747596</v>
      </c>
      <c r="U65" s="52">
        <v>2.5499999999999998</v>
      </c>
      <c r="V65" s="52">
        <v>2.039644</v>
      </c>
      <c r="W65" s="52">
        <f t="shared" si="44"/>
        <v>-0.51035599999999981</v>
      </c>
      <c r="X65" s="52">
        <f t="shared" si="45"/>
        <v>0.51035599999999981</v>
      </c>
      <c r="Y65" s="52">
        <f t="shared" si="21"/>
        <v>44.155868869942672</v>
      </c>
      <c r="Z65" s="52">
        <f t="shared" si="22"/>
        <v>0.77723999999999993</v>
      </c>
      <c r="AA65" s="52">
        <f t="shared" si="23"/>
        <v>0.62168349119999999</v>
      </c>
      <c r="AB65" s="52">
        <f t="shared" si="24"/>
        <v>-0.15555650879999994</v>
      </c>
      <c r="AC65" s="52">
        <f t="shared" si="25"/>
        <v>0.15555650879999994</v>
      </c>
      <c r="AD65" s="52">
        <f t="shared" si="46"/>
        <v>-20.013960784313721</v>
      </c>
      <c r="AE65" s="52">
        <f t="shared" si="41"/>
        <v>20.013960784313721</v>
      </c>
    </row>
    <row r="66">
      <c r="B66" s="46">
        <v>1059</v>
      </c>
      <c r="C66" s="46">
        <v>2208081.4219999998</v>
      </c>
      <c r="D66" s="46">
        <v>6731138.9440000001</v>
      </c>
      <c r="E66" s="46">
        <v>148.071</v>
      </c>
      <c r="F66" s="46">
        <v>795</v>
      </c>
      <c r="G66" s="52">
        <v>156.60869802186531</v>
      </c>
      <c r="H66" s="46">
        <v>2.23</v>
      </c>
      <c r="I66" s="46">
        <v>2.9886439999999999</v>
      </c>
      <c r="J66" s="46">
        <f t="shared" si="42"/>
        <v>0.75864399999999987</v>
      </c>
      <c r="K66" s="46">
        <f t="shared" si="43"/>
        <v>0.75864399999999987</v>
      </c>
      <c r="L66" s="51">
        <f t="shared" si="3"/>
        <v>47.734331157064545</v>
      </c>
      <c r="M66" s="51">
        <f t="shared" si="4"/>
        <v>0.67970399999999997</v>
      </c>
      <c r="N66" s="51">
        <f t="shared" si="5"/>
        <v>0.91093869120000004</v>
      </c>
      <c r="O66" s="51">
        <f t="shared" si="6"/>
        <v>0.23123469119999998</v>
      </c>
      <c r="P66" s="51">
        <f t="shared" si="7"/>
        <v>0.23123469119999998</v>
      </c>
      <c r="Q66" s="52">
        <f t="shared" si="47"/>
        <v>34.019910313901342</v>
      </c>
      <c r="R66" s="52">
        <f t="shared" si="48"/>
        <v>34.019910313901342</v>
      </c>
      <c r="T66" s="52">
        <v>156.60869802186531</v>
      </c>
      <c r="U66" s="52">
        <v>2.13252</v>
      </c>
      <c r="V66" s="52">
        <v>1.8769119999999999</v>
      </c>
      <c r="W66" s="52">
        <f t="shared" si="44"/>
        <v>-0.25560800000000006</v>
      </c>
      <c r="X66" s="52">
        <f t="shared" si="45"/>
        <v>0.25560800000000006</v>
      </c>
      <c r="Y66" s="52">
        <f t="shared" si="21"/>
        <v>47.734331157064545</v>
      </c>
      <c r="Z66" s="52">
        <f t="shared" si="22"/>
        <v>0.64999209600000007</v>
      </c>
      <c r="AA66" s="52">
        <f t="shared" si="23"/>
        <v>0.57208277760000004</v>
      </c>
      <c r="AB66" s="52">
        <f t="shared" si="24"/>
        <v>-0.077909318400000024</v>
      </c>
      <c r="AC66" s="52">
        <f t="shared" si="25"/>
        <v>0.077909318400000024</v>
      </c>
      <c r="AD66" s="52">
        <f t="shared" si="46"/>
        <v>-11.986194736743387</v>
      </c>
      <c r="AE66" s="52">
        <f t="shared" si="41"/>
        <v>11.986194736743387</v>
      </c>
    </row>
    <row r="67">
      <c r="B67" s="46">
        <v>1060</v>
      </c>
      <c r="C67" s="46">
        <v>2208068.6519999998</v>
      </c>
      <c r="D67" s="46">
        <v>6731143.1449999996</v>
      </c>
      <c r="E67" s="46">
        <v>148.446</v>
      </c>
      <c r="F67" s="46">
        <v>795</v>
      </c>
      <c r="G67" s="52">
        <v>170.05196031178559</v>
      </c>
      <c r="H67" s="46">
        <v>1.71</v>
      </c>
      <c r="I67" s="46">
        <v>2.266918</v>
      </c>
      <c r="J67" s="46">
        <f t="shared" si="42"/>
        <v>0.55691800000000002</v>
      </c>
      <c r="K67" s="46">
        <f t="shared" si="43"/>
        <v>0.55691800000000002</v>
      </c>
      <c r="L67" s="51">
        <f t="shared" si="3"/>
        <v>51.831837503032254</v>
      </c>
      <c r="M67" s="51">
        <f t="shared" si="4"/>
        <v>0.521208</v>
      </c>
      <c r="N67" s="51">
        <f t="shared" si="5"/>
        <v>0.69095660640000001</v>
      </c>
      <c r="O67" s="51">
        <f t="shared" si="6"/>
        <v>0.16974860640000003</v>
      </c>
      <c r="P67" s="51">
        <f t="shared" si="7"/>
        <v>0.16974860640000003</v>
      </c>
      <c r="Q67" s="52">
        <f t="shared" si="47"/>
        <v>32.568304093567249</v>
      </c>
      <c r="R67" s="52">
        <f t="shared" si="48"/>
        <v>32.568304093567249</v>
      </c>
      <c r="T67" s="52">
        <v>170.05196031178559</v>
      </c>
      <c r="U67" s="52">
        <v>1.75</v>
      </c>
      <c r="V67" s="52">
        <v>1.487843</v>
      </c>
      <c r="W67" s="52">
        <f t="shared" si="44"/>
        <v>-0.26215699999999997</v>
      </c>
      <c r="X67" s="52">
        <f t="shared" si="45"/>
        <v>0.26215699999999997</v>
      </c>
      <c r="Y67" s="52">
        <f t="shared" si="21"/>
        <v>51.831837503032254</v>
      </c>
      <c r="Z67" s="52">
        <f t="shared" si="22"/>
        <v>0.53339999999999999</v>
      </c>
      <c r="AA67" s="52">
        <f t="shared" si="23"/>
        <v>0.45349454640000003</v>
      </c>
      <c r="AB67" s="52">
        <f t="shared" si="24"/>
        <v>-0.079905453599999995</v>
      </c>
      <c r="AC67" s="52">
        <f t="shared" si="25"/>
        <v>0.079905453599999995</v>
      </c>
      <c r="AD67" s="52">
        <f t="shared" si="46"/>
        <v>-14.980399999999999</v>
      </c>
      <c r="AE67" s="52">
        <f t="shared" si="41"/>
        <v>14.980399999999999</v>
      </c>
    </row>
    <row r="68">
      <c r="B68" s="46">
        <v>1061</v>
      </c>
      <c r="C68" s="46">
        <v>2208057.4900000002</v>
      </c>
      <c r="D68" s="46">
        <v>6731145.9029999999</v>
      </c>
      <c r="E68" s="46">
        <v>149.215</v>
      </c>
      <c r="F68" s="46">
        <v>795</v>
      </c>
      <c r="G68" s="52">
        <v>181.54964738319043</v>
      </c>
      <c r="H68" s="46">
        <v>0.97999999999999998</v>
      </c>
      <c r="I68" s="46">
        <v>0.83909400000000001</v>
      </c>
      <c r="J68" s="46">
        <f t="shared" si="42"/>
        <v>-0.14090599999999998</v>
      </c>
      <c r="K68" s="46">
        <f t="shared" ref="K68:K73" si="49">ABS(J68)</f>
        <v>0.14090599999999998</v>
      </c>
      <c r="L68" s="51">
        <f t="shared" si="3"/>
        <v>55.336332522396447</v>
      </c>
      <c r="M68" s="51">
        <f t="shared" si="4"/>
        <v>0.29870400000000003</v>
      </c>
      <c r="N68" s="51">
        <f t="shared" si="5"/>
        <v>0.2557558512</v>
      </c>
      <c r="O68" s="51">
        <f t="shared" si="6"/>
        <v>-0.042948148799999995</v>
      </c>
      <c r="P68" s="51">
        <f t="shared" si="7"/>
        <v>0.042948148799999995</v>
      </c>
      <c r="Q68" s="52">
        <f t="shared" si="47"/>
        <v>-14.378163265306121</v>
      </c>
      <c r="R68" s="52">
        <f t="shared" si="48"/>
        <v>14.378163265306121</v>
      </c>
      <c r="T68" s="52">
        <v>181.54964738319043</v>
      </c>
      <c r="U68" s="52">
        <v>1.2795120000000002</v>
      </c>
      <c r="V68" s="52">
        <v>0.32944800000000002</v>
      </c>
      <c r="W68" s="52">
        <f t="shared" si="44"/>
        <v>-0.95006400000000024</v>
      </c>
      <c r="X68" s="52">
        <f t="shared" ref="X68:X73" si="50">ABS(W68)</f>
        <v>0.95006400000000024</v>
      </c>
      <c r="Y68" s="52">
        <f t="shared" si="21"/>
        <v>55.336332522396447</v>
      </c>
      <c r="Z68" s="52">
        <f t="shared" si="22"/>
        <v>0.38999525760000009</v>
      </c>
      <c r="AA68" s="52">
        <f t="shared" si="23"/>
        <v>0.10041575040000002</v>
      </c>
      <c r="AB68" s="52">
        <f t="shared" si="24"/>
        <v>-0.28957950720000009</v>
      </c>
      <c r="AC68" s="52">
        <f t="shared" si="25"/>
        <v>0.28957950720000009</v>
      </c>
      <c r="AD68" s="52">
        <f t="shared" si="46"/>
        <v>-74.252058597340252</v>
      </c>
      <c r="AE68" s="52">
        <f t="shared" si="41"/>
        <v>74.252058597340252</v>
      </c>
    </row>
    <row r="69" s="72" customFormat="1">
      <c r="A69" s="75" t="s">
        <v>51</v>
      </c>
      <c r="B69" s="72">
        <v>1063</v>
      </c>
      <c r="C69" s="72">
        <v>2208512.145</v>
      </c>
      <c r="D69" s="72">
        <v>6732150.0889999997</v>
      </c>
      <c r="E69" s="72">
        <v>150.34200000000001</v>
      </c>
      <c r="F69" s="72">
        <v>795</v>
      </c>
      <c r="G69" s="74">
        <v>25.408594058643857</v>
      </c>
      <c r="H69" s="72">
        <v>1.76</v>
      </c>
      <c r="I69" s="72">
        <v>0.60274799999999995</v>
      </c>
      <c r="J69" s="72">
        <f>I69-H69</f>
        <v>-1.1572520000000002</v>
      </c>
      <c r="K69" s="72">
        <f t="shared" si="49"/>
        <v>1.1572520000000002</v>
      </c>
      <c r="L69" s="73">
        <f t="shared" si="3"/>
        <v>7.7445394690746481</v>
      </c>
      <c r="M69" s="73">
        <f t="shared" si="4"/>
        <v>0.53644800000000004</v>
      </c>
      <c r="N69" s="73">
        <f t="shared" si="5"/>
        <v>0.18371759039999999</v>
      </c>
      <c r="O69" s="73">
        <f t="shared" si="6"/>
        <v>-0.35273040960000007</v>
      </c>
      <c r="P69" s="73">
        <f t="shared" si="7"/>
        <v>0.35273040960000007</v>
      </c>
      <c r="Q69" s="74">
        <f>100*J69/H69</f>
        <v>-65.752954545454557</v>
      </c>
      <c r="R69" s="74">
        <f>ABS(Q69)</f>
        <v>65.752954545454557</v>
      </c>
      <c r="T69" s="74">
        <v>25.408594058643857</v>
      </c>
      <c r="U69" s="74">
        <v>1.7</v>
      </c>
      <c r="V69" s="74">
        <v>0.82664499999999996</v>
      </c>
      <c r="W69" s="74">
        <f>V69-U69</f>
        <v>-0.87335499999999999</v>
      </c>
      <c r="X69" s="74">
        <f t="shared" si="50"/>
        <v>0.87335499999999999</v>
      </c>
      <c r="Y69" s="74">
        <f t="shared" si="21"/>
        <v>7.7445394690746481</v>
      </c>
      <c r="Z69" s="74">
        <f t="shared" si="22"/>
        <v>0.51816000000000006</v>
      </c>
      <c r="AA69" s="74">
        <f t="shared" si="23"/>
        <v>0.251961396</v>
      </c>
      <c r="AB69" s="74">
        <f t="shared" si="24"/>
        <v>-0.26619860400000001</v>
      </c>
      <c r="AC69" s="74">
        <f t="shared" si="25"/>
        <v>0.26619860400000001</v>
      </c>
      <c r="AD69" s="74">
        <f>100*W69/U69</f>
        <v>-51.373823529411766</v>
      </c>
      <c r="AE69" s="74">
        <f t="shared" si="41"/>
        <v>51.373823529411766</v>
      </c>
    </row>
    <row r="70">
      <c r="B70" s="46">
        <v>1064</v>
      </c>
      <c r="C70" s="46">
        <v>2208525.253</v>
      </c>
      <c r="D70" s="46">
        <v>6732148.1529999999</v>
      </c>
      <c r="E70" s="46">
        <v>150.64500000000001</v>
      </c>
      <c r="F70" s="46">
        <v>795</v>
      </c>
      <c r="G70" s="52">
        <v>38.658792547694631</v>
      </c>
      <c r="H70" s="46">
        <v>3.1200000000000001</v>
      </c>
      <c r="I70" s="46">
        <v>0.87568000000000001</v>
      </c>
      <c r="J70" s="46">
        <f>I70-H70</f>
        <v>-2.2443200000000001</v>
      </c>
      <c r="K70" s="46">
        <f t="shared" si="49"/>
        <v>2.2443200000000001</v>
      </c>
      <c r="L70" s="51">
        <f t="shared" si="3"/>
        <v>11.783199968537325</v>
      </c>
      <c r="M70" s="51">
        <f t="shared" si="4"/>
        <v>0.95097600000000004</v>
      </c>
      <c r="N70" s="51">
        <f t="shared" si="5"/>
        <v>0.26690726400000003</v>
      </c>
      <c r="O70" s="51">
        <f t="shared" si="6"/>
        <v>-0.68406873600000007</v>
      </c>
      <c r="P70" s="51">
        <f t="shared" si="7"/>
        <v>0.68406873600000007</v>
      </c>
      <c r="Q70" s="52">
        <f>100*J70/H70</f>
        <v>-71.933333333333337</v>
      </c>
      <c r="R70" s="52">
        <f>ABS(Q70)</f>
        <v>71.933333333333337</v>
      </c>
      <c r="T70" s="52">
        <v>38.658792547694631</v>
      </c>
      <c r="U70" s="52">
        <v>1.3123200000000002</v>
      </c>
      <c r="V70" s="52">
        <v>1.516845</v>
      </c>
      <c r="W70" s="52">
        <f>V70-U70</f>
        <v>0.20452499999999985</v>
      </c>
      <c r="X70" s="52">
        <f t="shared" si="50"/>
        <v>0.20452499999999985</v>
      </c>
      <c r="Y70" s="52">
        <f t="shared" si="21"/>
        <v>11.783199968537325</v>
      </c>
      <c r="Z70" s="52">
        <f t="shared" si="22"/>
        <v>0.39999513600000008</v>
      </c>
      <c r="AA70" s="52">
        <f t="shared" si="23"/>
        <v>0.462334356</v>
      </c>
      <c r="AB70" s="52">
        <f t="shared" si="24"/>
        <v>0.062339219999999959</v>
      </c>
      <c r="AC70" s="52">
        <f t="shared" si="25"/>
        <v>0.062339219999999959</v>
      </c>
      <c r="AD70" s="52">
        <f>100*W70/U70</f>
        <v>15.584994513533273</v>
      </c>
      <c r="AE70" s="52">
        <f t="shared" si="41"/>
        <v>15.584994513533273</v>
      </c>
    </row>
    <row r="71">
      <c r="B71" s="46">
        <v>1065</v>
      </c>
      <c r="C71" s="46">
        <v>2208536.727</v>
      </c>
      <c r="D71" s="46">
        <v>6732149.1179999998</v>
      </c>
      <c r="E71" s="46">
        <v>150.80500000000001</v>
      </c>
      <c r="F71" s="46">
        <v>795</v>
      </c>
      <c r="G71" s="52">
        <v>50.173300830643072</v>
      </c>
      <c r="H71" s="46">
        <v>2.79</v>
      </c>
      <c r="I71" s="46">
        <v>0.99722</v>
      </c>
      <c r="J71" s="46">
        <f>I71-H71</f>
        <v>-1.79278</v>
      </c>
      <c r="K71" s="46">
        <f t="shared" si="49"/>
        <v>1.79278</v>
      </c>
      <c r="L71" s="51">
        <f t="shared" si="3"/>
        <v>15.292822093180009</v>
      </c>
      <c r="M71" s="51">
        <f t="shared" si="4"/>
        <v>0.85039200000000004</v>
      </c>
      <c r="N71" s="51">
        <f t="shared" si="5"/>
        <v>0.30395265599999999</v>
      </c>
      <c r="O71" s="51">
        <f t="shared" si="6"/>
        <v>-0.54643934400000005</v>
      </c>
      <c r="P71" s="51">
        <f t="shared" si="7"/>
        <v>0.54643934400000005</v>
      </c>
      <c r="Q71" s="52">
        <f>100*J71/H71</f>
        <v>-64.257347670250894</v>
      </c>
      <c r="R71" s="52">
        <f>ABS(Q71)</f>
        <v>64.257347670250894</v>
      </c>
      <c r="T71" s="52">
        <v>50.173300830643072</v>
      </c>
      <c r="U71" s="52">
        <v>1.0826640000000001</v>
      </c>
      <c r="V71" s="52">
        <v>2.2526190000000001</v>
      </c>
      <c r="W71" s="52">
        <f>V71-U71</f>
        <v>1.1699550000000001</v>
      </c>
      <c r="X71" s="52">
        <f t="shared" si="50"/>
        <v>1.1699550000000001</v>
      </c>
      <c r="Y71" s="52">
        <f t="shared" si="21"/>
        <v>15.292822093180009</v>
      </c>
      <c r="Z71" s="52">
        <f t="shared" si="22"/>
        <v>0.32999598720000006</v>
      </c>
      <c r="AA71" s="52">
        <f t="shared" si="23"/>
        <v>0.68659827120000005</v>
      </c>
      <c r="AB71" s="52">
        <f t="shared" si="24"/>
        <v>0.35660228400000005</v>
      </c>
      <c r="AC71" s="52">
        <f t="shared" si="25"/>
        <v>0.35660228400000005</v>
      </c>
      <c r="AD71" s="52">
        <f>100*W71/U71</f>
        <v>108.06261222318281</v>
      </c>
      <c r="AE71" s="52">
        <f t="shared" si="41"/>
        <v>108.06261222318281</v>
      </c>
    </row>
    <row r="72">
      <c r="B72" s="46">
        <v>1066</v>
      </c>
      <c r="C72" s="46">
        <v>2208548.1880000001</v>
      </c>
      <c r="D72" s="46">
        <v>6732147.5640000002</v>
      </c>
      <c r="E72" s="46">
        <v>150.74100000000001</v>
      </c>
      <c r="F72" s="46">
        <v>795</v>
      </c>
      <c r="G72" s="52">
        <v>61.739174641188804</v>
      </c>
      <c r="H72" s="46">
        <v>2.6899999999999999</v>
      </c>
      <c r="I72" s="46">
        <v>0.97821400000000003</v>
      </c>
      <c r="J72" s="46">
        <f>I72-H72</f>
        <v>-1.711786</v>
      </c>
      <c r="K72" s="46">
        <f t="shared" si="49"/>
        <v>1.711786</v>
      </c>
      <c r="L72" s="51">
        <f t="shared" si="3"/>
        <v>18.818100430634349</v>
      </c>
      <c r="M72" s="51">
        <f t="shared" si="4"/>
        <v>0.81991199999999997</v>
      </c>
      <c r="N72" s="51">
        <f t="shared" si="5"/>
        <v>0.2981596272</v>
      </c>
      <c r="O72" s="51">
        <f t="shared" si="6"/>
        <v>-0.52175237280000009</v>
      </c>
      <c r="P72" s="51">
        <f t="shared" si="7"/>
        <v>0.52175237280000009</v>
      </c>
      <c r="Q72" s="52">
        <f>100*J72/H72</f>
        <v>-63.635167286245363</v>
      </c>
      <c r="R72" s="52">
        <f>ABS(Q72)</f>
        <v>63.635167286245363</v>
      </c>
      <c r="T72" s="52">
        <v>61.739174641188804</v>
      </c>
      <c r="U72" s="52">
        <v>1.2138960000000001</v>
      </c>
      <c r="V72" s="52">
        <v>2.9496699999999998</v>
      </c>
      <c r="W72" s="52">
        <f>V72-U72</f>
        <v>1.7357739999999997</v>
      </c>
      <c r="X72" s="52">
        <f t="shared" si="50"/>
        <v>1.7357739999999997</v>
      </c>
      <c r="Y72" s="52">
        <f t="shared" si="21"/>
        <v>18.818100430634349</v>
      </c>
      <c r="Z72" s="52">
        <f t="shared" si="22"/>
        <v>0.36999550080000004</v>
      </c>
      <c r="AA72" s="52">
        <f t="shared" si="23"/>
        <v>0.89905941599999994</v>
      </c>
      <c r="AB72" s="52">
        <f t="shared" si="24"/>
        <v>0.52906391519999996</v>
      </c>
      <c r="AC72" s="52">
        <f t="shared" si="25"/>
        <v>0.52906391519999996</v>
      </c>
      <c r="AD72" s="52">
        <f>100*W72/U72</f>
        <v>142.99198613390271</v>
      </c>
      <c r="AE72" s="52">
        <f t="shared" si="41"/>
        <v>142.99198613390271</v>
      </c>
    </row>
    <row r="73">
      <c r="B73" s="46">
        <v>1067</v>
      </c>
      <c r="C73" s="46">
        <v>2208560.963</v>
      </c>
      <c r="D73" s="46">
        <v>6732145.2970000003</v>
      </c>
      <c r="E73" s="46">
        <v>150.80600000000001</v>
      </c>
      <c r="F73" s="46">
        <v>795</v>
      </c>
      <c r="G73" s="52">
        <v>74.71376187923174</v>
      </c>
      <c r="H73" s="46">
        <v>2.4199999999999999</v>
      </c>
      <c r="I73" s="46">
        <v>1.102384</v>
      </c>
      <c r="J73" s="46">
        <f>I73-H73</f>
        <v>-1.3176159999999999</v>
      </c>
      <c r="K73" s="46">
        <f t="shared" si="49"/>
        <v>1.3176159999999999</v>
      </c>
      <c r="L73" s="51">
        <f t="shared" ref="L73:L136" si="51">G73*0.3048</f>
        <v>22.772754620789836</v>
      </c>
      <c r="M73" s="51">
        <f t="shared" ref="M73:M136" si="52">H73*0.3048</f>
        <v>0.73761600000000005</v>
      </c>
      <c r="N73" s="51">
        <f t="shared" ref="N73:N136" si="53">I73*0.3048</f>
        <v>0.33600664320000001</v>
      </c>
      <c r="O73" s="51">
        <f t="shared" ref="O73:O136" si="54">J73*0.3048</f>
        <v>-0.40160935679999998</v>
      </c>
      <c r="P73" s="51">
        <f t="shared" ref="P73:P136" si="55">K73*0.3048</f>
        <v>0.40160935679999998</v>
      </c>
      <c r="Q73" s="52">
        <f>100*J73/H73</f>
        <v>-54.446942148760328</v>
      </c>
      <c r="R73" s="52">
        <f>ABS(Q73)</f>
        <v>54.446942148760328</v>
      </c>
      <c r="T73" s="52">
        <v>74.71376187923174</v>
      </c>
      <c r="U73" s="52">
        <v>1.1499999999999999</v>
      </c>
      <c r="V73" s="52">
        <v>3.6267399999999999</v>
      </c>
      <c r="W73" s="52">
        <f>V73-U73</f>
        <v>2.4767399999999999</v>
      </c>
      <c r="X73" s="52">
        <f t="shared" si="50"/>
        <v>2.4767399999999999</v>
      </c>
      <c r="Y73" s="52">
        <f t="shared" si="21"/>
        <v>22.772754620789836</v>
      </c>
      <c r="Z73" s="52">
        <f t="shared" si="22"/>
        <v>0.35052</v>
      </c>
      <c r="AA73" s="52">
        <f t="shared" si="23"/>
        <v>1.1054303519999999</v>
      </c>
      <c r="AB73" s="52">
        <f t="shared" si="24"/>
        <v>0.75491035200000001</v>
      </c>
      <c r="AC73" s="52">
        <f t="shared" si="25"/>
        <v>0.75491035200000001</v>
      </c>
      <c r="AD73" s="52">
        <f>100*W73/U73</f>
        <v>215.36869565217393</v>
      </c>
      <c r="AE73" s="52">
        <f t="shared" si="41"/>
        <v>215.36869565217393</v>
      </c>
    </row>
    <row r="74" s="72" customFormat="1">
      <c r="A74" s="75" t="s">
        <v>53</v>
      </c>
      <c r="B74" s="72">
        <v>1069</v>
      </c>
      <c r="C74" s="72">
        <v>2207852.96</v>
      </c>
      <c r="D74" s="72">
        <v>6730531.3329999996</v>
      </c>
      <c r="E74" s="72">
        <v>148.08099999999999</v>
      </c>
      <c r="F74" s="72">
        <v>795</v>
      </c>
      <c r="G74" s="74">
        <v>16.850240437171678</v>
      </c>
      <c r="H74" s="72">
        <v>1.0800000000000001</v>
      </c>
      <c r="I74" s="72">
        <v>1.0883370000000001</v>
      </c>
      <c r="J74" s="72">
        <f t="shared" ref="J74:J86" si="56">I74-H74</f>
        <v>0.0083370000000000388</v>
      </c>
      <c r="K74" s="72">
        <f t="shared" ref="K74:K86" si="57">ABS(J74)</f>
        <v>0.0083370000000000388</v>
      </c>
      <c r="L74" s="73">
        <f t="shared" si="51"/>
        <v>5.1359532852499274</v>
      </c>
      <c r="M74" s="73">
        <f t="shared" si="52"/>
        <v>0.32918400000000003</v>
      </c>
      <c r="N74" s="73">
        <f t="shared" si="53"/>
        <v>0.33172511760000006</v>
      </c>
      <c r="O74" s="73">
        <f t="shared" si="54"/>
        <v>0.0025411176000000118</v>
      </c>
      <c r="P74" s="73">
        <f t="shared" si="55"/>
        <v>0.0025411176000000118</v>
      </c>
      <c r="Q74" s="74">
        <f t="shared" ref="Q74:Q86" si="58">100*J74/H74</f>
        <v>0.77194444444444799</v>
      </c>
      <c r="R74" s="74">
        <f t="shared" ref="R74:R86" si="59">ABS(Q74)</f>
        <v>0.77194444444444799</v>
      </c>
      <c r="T74" s="74">
        <v>16.850240437171678</v>
      </c>
      <c r="U74" s="74">
        <v>0.95143199999999994</v>
      </c>
      <c r="V74" s="74">
        <v>0.43138300000000002</v>
      </c>
      <c r="W74" s="74">
        <f t="shared" ref="W74:W86" si="60">V74-U74</f>
        <v>-0.52004899999999998</v>
      </c>
      <c r="X74" s="74">
        <f t="shared" ref="X74:X86" si="61">ABS(W74)</f>
        <v>0.52004899999999998</v>
      </c>
      <c r="Y74" s="74">
        <f t="shared" si="21"/>
        <v>5.1359532852499274</v>
      </c>
      <c r="Z74" s="74">
        <f t="shared" si="22"/>
        <v>0.28999647359999997</v>
      </c>
      <c r="AA74" s="74">
        <f t="shared" si="23"/>
        <v>0.13148553840000002</v>
      </c>
      <c r="AB74" s="74">
        <f t="shared" si="24"/>
        <v>-0.15851093520000001</v>
      </c>
      <c r="AC74" s="74">
        <f t="shared" si="25"/>
        <v>0.15851093520000001</v>
      </c>
      <c r="AD74" s="74">
        <f t="shared" ref="AD74:AD86" si="62">100*W74/U74</f>
        <v>-54.659607833245047</v>
      </c>
      <c r="AE74" s="74">
        <f t="shared" si="41"/>
        <v>54.659607833245047</v>
      </c>
    </row>
    <row r="75">
      <c r="B75" s="46">
        <v>1070</v>
      </c>
      <c r="C75" s="46">
        <v>2207863.2349999999</v>
      </c>
      <c r="D75" s="46">
        <v>6730528.6310000001</v>
      </c>
      <c r="E75" s="46">
        <v>147.74000000000001</v>
      </c>
      <c r="F75" s="46">
        <v>795</v>
      </c>
      <c r="G75" s="52">
        <v>27.474572368913616</v>
      </c>
      <c r="H75" s="46">
        <v>1.55</v>
      </c>
      <c r="I75" s="46">
        <v>2.3177590000000001</v>
      </c>
      <c r="J75" s="46">
        <f t="shared" si="56"/>
        <v>0.76775900000000008</v>
      </c>
      <c r="K75" s="46">
        <f t="shared" si="57"/>
        <v>0.76775900000000008</v>
      </c>
      <c r="L75" s="51">
        <f t="shared" si="51"/>
        <v>8.3742496580448709</v>
      </c>
      <c r="M75" s="51">
        <f t="shared" si="52"/>
        <v>0.47244000000000003</v>
      </c>
      <c r="N75" s="51">
        <f t="shared" si="53"/>
        <v>0.70645294320000007</v>
      </c>
      <c r="O75" s="51">
        <f t="shared" si="54"/>
        <v>0.23401294320000005</v>
      </c>
      <c r="P75" s="51">
        <f t="shared" si="55"/>
        <v>0.23401294320000005</v>
      </c>
      <c r="Q75" s="52">
        <f t="shared" si="58"/>
        <v>49.532838709677421</v>
      </c>
      <c r="R75" s="52">
        <f t="shared" si="59"/>
        <v>49.532838709677421</v>
      </c>
      <c r="T75" s="52">
        <v>27.474572368913616</v>
      </c>
      <c r="U75" s="52">
        <v>1.1000000000000001</v>
      </c>
      <c r="V75" s="52">
        <v>1.3138609999999999</v>
      </c>
      <c r="W75" s="52">
        <f t="shared" si="60"/>
        <v>0.21386099999999986</v>
      </c>
      <c r="X75" s="52">
        <f t="shared" si="61"/>
        <v>0.21386099999999986</v>
      </c>
      <c r="Y75" s="52">
        <f t="shared" si="21"/>
        <v>8.3742496580448709</v>
      </c>
      <c r="Z75" s="52">
        <f t="shared" si="22"/>
        <v>0.33528000000000002</v>
      </c>
      <c r="AA75" s="52">
        <f t="shared" si="23"/>
        <v>0.4004648328</v>
      </c>
      <c r="AB75" s="52">
        <f t="shared" si="24"/>
        <v>0.065184832799999953</v>
      </c>
      <c r="AC75" s="52">
        <f t="shared" si="25"/>
        <v>0.065184832799999953</v>
      </c>
      <c r="AD75" s="52">
        <f t="shared" si="62"/>
        <v>19.441909090909075</v>
      </c>
      <c r="AE75" s="52">
        <f t="shared" si="41"/>
        <v>19.441909090909075</v>
      </c>
    </row>
    <row r="76">
      <c r="B76" s="46">
        <v>1071</v>
      </c>
      <c r="C76" s="46">
        <v>2207873.2889999999</v>
      </c>
      <c r="D76" s="46">
        <v>6730526.1780000003</v>
      </c>
      <c r="E76" s="46">
        <v>147.18000000000001</v>
      </c>
      <c r="F76" s="46">
        <v>795</v>
      </c>
      <c r="G76" s="52">
        <v>37.823491394533256</v>
      </c>
      <c r="H76" s="46">
        <v>1.6699999999999999</v>
      </c>
      <c r="I76" s="46">
        <v>2.666445</v>
      </c>
      <c r="J76" s="46">
        <f t="shared" si="56"/>
        <v>0.99644500000000003</v>
      </c>
      <c r="K76" s="46">
        <f t="shared" si="57"/>
        <v>0.99644500000000003</v>
      </c>
      <c r="L76" s="51">
        <f t="shared" si="51"/>
        <v>11.528600177053738</v>
      </c>
      <c r="M76" s="51">
        <f t="shared" si="52"/>
        <v>0.50901600000000002</v>
      </c>
      <c r="N76" s="51">
        <f t="shared" si="53"/>
        <v>0.812732436</v>
      </c>
      <c r="O76" s="51">
        <f t="shared" si="54"/>
        <v>0.30371643600000003</v>
      </c>
      <c r="P76" s="51">
        <f t="shared" si="55"/>
        <v>0.30371643600000003</v>
      </c>
      <c r="Q76" s="52">
        <f t="shared" si="58"/>
        <v>59.667365269461087</v>
      </c>
      <c r="R76" s="52">
        <f t="shared" si="59"/>
        <v>59.667365269461087</v>
      </c>
      <c r="T76" s="52">
        <v>37.823491394533256</v>
      </c>
      <c r="U76" s="52">
        <v>1.673208</v>
      </c>
      <c r="V76" s="52">
        <v>1.639273</v>
      </c>
      <c r="W76" s="52">
        <f t="shared" si="60"/>
        <v>-0.033935000000000048</v>
      </c>
      <c r="X76" s="52">
        <f t="shared" si="61"/>
        <v>0.033935000000000048</v>
      </c>
      <c r="Y76" s="52">
        <f t="shared" si="21"/>
        <v>11.528600177053738</v>
      </c>
      <c r="Z76" s="52">
        <f t="shared" si="22"/>
        <v>0.50999379840000003</v>
      </c>
      <c r="AA76" s="52">
        <f t="shared" si="23"/>
        <v>0.49965041040000002</v>
      </c>
      <c r="AB76" s="52">
        <f t="shared" si="24"/>
        <v>-0.010343388000000016</v>
      </c>
      <c r="AC76" s="52">
        <f t="shared" si="25"/>
        <v>0.010343388000000016</v>
      </c>
      <c r="AD76" s="52">
        <f t="shared" si="62"/>
        <v>-2.0281399562995186</v>
      </c>
      <c r="AE76" s="52">
        <f t="shared" si="41"/>
        <v>2.0281399562995186</v>
      </c>
    </row>
    <row r="77">
      <c r="B77" s="46">
        <v>1072</v>
      </c>
      <c r="C77" s="46">
        <v>2207886.2969999998</v>
      </c>
      <c r="D77" s="46">
        <v>6730522.9539999999</v>
      </c>
      <c r="E77" s="46">
        <v>147.113</v>
      </c>
      <c r="F77" s="46">
        <v>795</v>
      </c>
      <c r="G77" s="52">
        <v>51.225067421266722</v>
      </c>
      <c r="H77" s="46">
        <v>1.55</v>
      </c>
      <c r="I77" s="46">
        <v>2.7766280000000001</v>
      </c>
      <c r="J77" s="46">
        <f t="shared" si="56"/>
        <v>1.2266280000000001</v>
      </c>
      <c r="K77" s="46">
        <f t="shared" si="57"/>
        <v>1.2266280000000001</v>
      </c>
      <c r="L77" s="51">
        <f t="shared" si="51"/>
        <v>15.613400550002098</v>
      </c>
      <c r="M77" s="51">
        <f t="shared" si="52"/>
        <v>0.47244000000000003</v>
      </c>
      <c r="N77" s="51">
        <f t="shared" si="53"/>
        <v>0.84631621440000004</v>
      </c>
      <c r="O77" s="51">
        <f t="shared" si="54"/>
        <v>0.37387621440000002</v>
      </c>
      <c r="P77" s="51">
        <f t="shared" si="55"/>
        <v>0.37387621440000002</v>
      </c>
      <c r="Q77" s="52">
        <f t="shared" si="58"/>
        <v>79.13729032258064</v>
      </c>
      <c r="R77" s="52">
        <f t="shared" si="59"/>
        <v>79.13729032258064</v>
      </c>
      <c r="T77" s="52">
        <v>51.225067421266722</v>
      </c>
      <c r="U77" s="52">
        <v>1.8999999999999999</v>
      </c>
      <c r="V77" s="52">
        <v>2.1816599999999999</v>
      </c>
      <c r="W77" s="52">
        <f t="shared" si="60"/>
        <v>0.28166000000000002</v>
      </c>
      <c r="X77" s="52">
        <f t="shared" si="61"/>
        <v>0.28166000000000002</v>
      </c>
      <c r="Y77" s="52">
        <f t="shared" ref="Y77:Y140" si="63">T77*0.3048</f>
        <v>15.613400550002098</v>
      </c>
      <c r="Z77" s="52">
        <f t="shared" ref="Z77:Z140" si="64">U77*0.3048</f>
        <v>0.57911999999999997</v>
      </c>
      <c r="AA77" s="52">
        <f t="shared" ref="AA77:AA140" si="65">V77*0.3048</f>
        <v>0.66496996799999997</v>
      </c>
      <c r="AB77" s="52">
        <f t="shared" ref="AB77:AB140" si="66">W77*0.3048</f>
        <v>0.085849968000000013</v>
      </c>
      <c r="AC77" s="52">
        <f t="shared" ref="AC77:AC140" si="67">X77*0.3048</f>
        <v>0.085849968000000013</v>
      </c>
      <c r="AD77" s="52">
        <f t="shared" si="62"/>
        <v>14.824210526315792</v>
      </c>
      <c r="AE77" s="52">
        <f t="shared" si="41"/>
        <v>14.824210526315792</v>
      </c>
    </row>
    <row r="78">
      <c r="B78" s="46">
        <v>1073</v>
      </c>
      <c r="C78" s="46">
        <v>2207898.1540000001</v>
      </c>
      <c r="D78" s="46">
        <v>6730519.8099999996</v>
      </c>
      <c r="E78" s="46">
        <v>146.953</v>
      </c>
      <c r="F78" s="46">
        <v>795</v>
      </c>
      <c r="G78" s="52">
        <v>63.49181862153759</v>
      </c>
      <c r="H78" s="46">
        <v>2.5600000000000001</v>
      </c>
      <c r="I78" s="46">
        <v>2.6888230000000002</v>
      </c>
      <c r="J78" s="46">
        <f t="shared" si="56"/>
        <v>0.12882300000000013</v>
      </c>
      <c r="K78" s="46">
        <f t="shared" si="57"/>
        <v>0.12882300000000013</v>
      </c>
      <c r="L78" s="51">
        <f t="shared" si="51"/>
        <v>19.352306315844658</v>
      </c>
      <c r="M78" s="51">
        <f t="shared" si="52"/>
        <v>0.78028800000000009</v>
      </c>
      <c r="N78" s="51">
        <f t="shared" si="53"/>
        <v>0.81955325040000004</v>
      </c>
      <c r="O78" s="51">
        <f t="shared" si="54"/>
        <v>0.039265250400000042</v>
      </c>
      <c r="P78" s="51">
        <f t="shared" si="55"/>
        <v>0.039265250400000042</v>
      </c>
      <c r="Q78" s="52">
        <f t="shared" si="58"/>
        <v>5.0321484375000054</v>
      </c>
      <c r="R78" s="52">
        <f t="shared" si="59"/>
        <v>5.0321484375000054</v>
      </c>
      <c r="T78" s="52">
        <v>63.49181862153759</v>
      </c>
      <c r="U78" s="52">
        <v>2.0012880000000002</v>
      </c>
      <c r="V78" s="52">
        <v>1.9842489999999999</v>
      </c>
      <c r="W78" s="52">
        <f t="shared" si="60"/>
        <v>-0.017039000000000248</v>
      </c>
      <c r="X78" s="52">
        <f t="shared" si="61"/>
        <v>0.017039000000000248</v>
      </c>
      <c r="Y78" s="52">
        <f t="shared" si="63"/>
        <v>19.352306315844658</v>
      </c>
      <c r="Z78" s="52">
        <f t="shared" si="64"/>
        <v>0.60999258240000009</v>
      </c>
      <c r="AA78" s="52">
        <f t="shared" si="65"/>
        <v>0.60479909519999997</v>
      </c>
      <c r="AB78" s="52">
        <f t="shared" si="66"/>
        <v>-0.0051934872000000756</v>
      </c>
      <c r="AC78" s="52">
        <f t="shared" si="67"/>
        <v>0.0051934872000000756</v>
      </c>
      <c r="AD78" s="52">
        <f t="shared" si="62"/>
        <v>-0.8514016973069467</v>
      </c>
      <c r="AE78" s="52">
        <f t="shared" si="41"/>
        <v>0.8514016973069467</v>
      </c>
    </row>
    <row r="79">
      <c r="B79" s="46">
        <v>1074</v>
      </c>
      <c r="C79" s="46">
        <v>2207909.1499999999</v>
      </c>
      <c r="D79" s="46">
        <v>6730516.4900000002</v>
      </c>
      <c r="E79" s="46">
        <v>146.87100000000001</v>
      </c>
      <c r="F79" s="46">
        <v>795</v>
      </c>
      <c r="G79" s="52">
        <v>74.978089382390152</v>
      </c>
      <c r="H79" s="46">
        <v>3.1200000000000001</v>
      </c>
      <c r="I79" s="46">
        <v>2.7215349999999998</v>
      </c>
      <c r="J79" s="46">
        <f t="shared" si="56"/>
        <v>-0.39846500000000029</v>
      </c>
      <c r="K79" s="46">
        <f t="shared" si="57"/>
        <v>0.39846500000000029</v>
      </c>
      <c r="L79" s="51">
        <f t="shared" si="51"/>
        <v>22.853321643752519</v>
      </c>
      <c r="M79" s="51">
        <f t="shared" si="52"/>
        <v>0.95097600000000004</v>
      </c>
      <c r="N79" s="51">
        <f t="shared" si="53"/>
        <v>0.829523868</v>
      </c>
      <c r="O79" s="51">
        <f t="shared" si="54"/>
        <v>-0.1214521320000001</v>
      </c>
      <c r="P79" s="51">
        <f t="shared" si="55"/>
        <v>0.1214521320000001</v>
      </c>
      <c r="Q79" s="52">
        <f t="shared" si="58"/>
        <v>-12.77131410256411</v>
      </c>
      <c r="R79" s="52">
        <f t="shared" si="59"/>
        <v>12.77131410256411</v>
      </c>
      <c r="T79" s="52">
        <v>74.978089382390152</v>
      </c>
      <c r="U79" s="52">
        <v>2.1499999999999999</v>
      </c>
      <c r="V79" s="52">
        <v>1.9768889999999999</v>
      </c>
      <c r="W79" s="52">
        <f t="shared" si="60"/>
        <v>-0.17311100000000001</v>
      </c>
      <c r="X79" s="52">
        <f t="shared" si="61"/>
        <v>0.17311100000000001</v>
      </c>
      <c r="Y79" s="52">
        <f t="shared" si="63"/>
        <v>22.853321643752519</v>
      </c>
      <c r="Z79" s="52">
        <f t="shared" si="64"/>
        <v>0.65532000000000001</v>
      </c>
      <c r="AA79" s="52">
        <f t="shared" si="65"/>
        <v>0.60255576720000004</v>
      </c>
      <c r="AB79" s="52">
        <f t="shared" si="66"/>
        <v>-0.052764232800000005</v>
      </c>
      <c r="AC79" s="52">
        <f t="shared" si="67"/>
        <v>0.052764232800000005</v>
      </c>
      <c r="AD79" s="52">
        <f t="shared" si="62"/>
        <v>-8.0516744186046534</v>
      </c>
      <c r="AE79" s="52">
        <f t="shared" si="41"/>
        <v>8.0516744186046534</v>
      </c>
    </row>
    <row r="80">
      <c r="B80" s="46">
        <v>1075</v>
      </c>
      <c r="C80" s="46">
        <v>2207921.2620000001</v>
      </c>
      <c r="D80" s="46">
        <v>6730514.227</v>
      </c>
      <c r="E80" s="46">
        <v>146.81100000000001</v>
      </c>
      <c r="F80" s="46">
        <v>795</v>
      </c>
      <c r="G80" s="52">
        <v>87.299684774464865</v>
      </c>
      <c r="H80" s="46">
        <v>3.3100000000000001</v>
      </c>
      <c r="I80" s="46">
        <v>3.0360149999999999</v>
      </c>
      <c r="J80" s="46">
        <f t="shared" si="56"/>
        <v>-0.27398500000000015</v>
      </c>
      <c r="K80" s="46">
        <f t="shared" si="57"/>
        <v>0.27398500000000015</v>
      </c>
      <c r="L80" s="51">
        <f t="shared" si="51"/>
        <v>26.608943919256891</v>
      </c>
      <c r="M80" s="51">
        <f t="shared" si="52"/>
        <v>1.008888</v>
      </c>
      <c r="N80" s="51">
        <f t="shared" si="53"/>
        <v>0.92537737200000003</v>
      </c>
      <c r="O80" s="51">
        <f t="shared" si="54"/>
        <v>-0.083510628000000045</v>
      </c>
      <c r="P80" s="51">
        <f t="shared" si="55"/>
        <v>0.083510628000000045</v>
      </c>
      <c r="Q80" s="52">
        <f t="shared" si="58"/>
        <v>-8.2774924471299123</v>
      </c>
      <c r="R80" s="52">
        <f t="shared" si="59"/>
        <v>8.2774924471299123</v>
      </c>
      <c r="T80" s="52">
        <v>87.299684774464865</v>
      </c>
      <c r="U80" s="52">
        <v>2.1981360000000003</v>
      </c>
      <c r="V80" s="52">
        <v>2.1198999999999999</v>
      </c>
      <c r="W80" s="52">
        <f t="shared" si="60"/>
        <v>-0.078236000000000416</v>
      </c>
      <c r="X80" s="52">
        <f t="shared" si="61"/>
        <v>0.078236000000000416</v>
      </c>
      <c r="Y80" s="52">
        <f t="shared" si="63"/>
        <v>26.608943919256891</v>
      </c>
      <c r="Z80" s="52">
        <f t="shared" si="64"/>
        <v>0.66999185280000018</v>
      </c>
      <c r="AA80" s="52">
        <f t="shared" si="65"/>
        <v>0.64614552000000003</v>
      </c>
      <c r="AB80" s="52">
        <f t="shared" si="66"/>
        <v>-0.023846332800000127</v>
      </c>
      <c r="AC80" s="52">
        <f t="shared" si="67"/>
        <v>0.023846332800000127</v>
      </c>
      <c r="AD80" s="52">
        <f t="shared" si="62"/>
        <v>-3.5591974290944877</v>
      </c>
      <c r="AE80" s="52">
        <f t="shared" si="41"/>
        <v>3.5591974290944877</v>
      </c>
    </row>
    <row r="81">
      <c r="B81" s="46">
        <v>1076</v>
      </c>
      <c r="C81" s="46">
        <v>2207935.8760000002</v>
      </c>
      <c r="D81" s="46">
        <v>6730511.4239999996</v>
      </c>
      <c r="E81" s="46">
        <v>146.65799999999999</v>
      </c>
      <c r="F81" s="46">
        <v>795</v>
      </c>
      <c r="G81" s="52">
        <v>102.1800680021729</v>
      </c>
      <c r="H81" s="46">
        <v>3.8799999999999999</v>
      </c>
      <c r="I81" s="46">
        <v>3.3542679999999998</v>
      </c>
      <c r="J81" s="46">
        <f t="shared" si="56"/>
        <v>-0.52573200000000009</v>
      </c>
      <c r="K81" s="46">
        <f t="shared" si="57"/>
        <v>0.52573200000000009</v>
      </c>
      <c r="L81" s="51">
        <f t="shared" si="51"/>
        <v>31.144484727062302</v>
      </c>
      <c r="M81" s="51">
        <f t="shared" si="52"/>
        <v>1.1826240000000001</v>
      </c>
      <c r="N81" s="51">
        <f t="shared" si="53"/>
        <v>1.0223808863999999</v>
      </c>
      <c r="O81" s="51">
        <f t="shared" si="54"/>
        <v>-0.16024311360000004</v>
      </c>
      <c r="P81" s="51">
        <f t="shared" si="55"/>
        <v>0.16024311360000004</v>
      </c>
      <c r="Q81" s="52">
        <f t="shared" si="58"/>
        <v>-13.549793814432991</v>
      </c>
      <c r="R81" s="52">
        <f t="shared" si="59"/>
        <v>13.549793814432991</v>
      </c>
      <c r="T81" s="52">
        <v>102.1800680021729</v>
      </c>
      <c r="U81" s="52">
        <v>2.4500000000000002</v>
      </c>
      <c r="V81" s="52">
        <v>2.3340800000000002</v>
      </c>
      <c r="W81" s="52">
        <f t="shared" si="60"/>
        <v>-0.11592000000000002</v>
      </c>
      <c r="X81" s="52">
        <f t="shared" si="61"/>
        <v>0.11592000000000002</v>
      </c>
      <c r="Y81" s="52">
        <f t="shared" si="63"/>
        <v>31.144484727062302</v>
      </c>
      <c r="Z81" s="52">
        <f t="shared" si="64"/>
        <v>0.74676000000000009</v>
      </c>
      <c r="AA81" s="52">
        <f t="shared" si="65"/>
        <v>0.71142758400000006</v>
      </c>
      <c r="AB81" s="52">
        <f t="shared" si="66"/>
        <v>-0.035332416000000005</v>
      </c>
      <c r="AC81" s="52">
        <f t="shared" si="67"/>
        <v>0.035332416000000005</v>
      </c>
      <c r="AD81" s="52">
        <f t="shared" si="62"/>
        <v>-4.7314285714285722</v>
      </c>
      <c r="AE81" s="52">
        <f t="shared" si="41"/>
        <v>4.7314285714285722</v>
      </c>
    </row>
    <row r="82">
      <c r="B82" s="46">
        <v>1077</v>
      </c>
      <c r="C82" s="46">
        <v>2207948.5690000001</v>
      </c>
      <c r="D82" s="46">
        <v>6730507.6440000003</v>
      </c>
      <c r="E82" s="46">
        <v>147.065</v>
      </c>
      <c r="F82" s="46">
        <v>795</v>
      </c>
      <c r="G82" s="52">
        <v>115.42395900875303</v>
      </c>
      <c r="H82" s="46">
        <v>3.5800000000000001</v>
      </c>
      <c r="I82" s="46">
        <v>3.3455940000000002</v>
      </c>
      <c r="J82" s="46">
        <f t="shared" si="56"/>
        <v>-0.23440599999999989</v>
      </c>
      <c r="K82" s="46">
        <f t="shared" si="57"/>
        <v>0.23440599999999989</v>
      </c>
      <c r="L82" s="51">
        <f t="shared" si="51"/>
        <v>35.181222705867924</v>
      </c>
      <c r="M82" s="51">
        <f t="shared" si="52"/>
        <v>1.0911840000000002</v>
      </c>
      <c r="N82" s="51">
        <f t="shared" si="53"/>
        <v>1.0197370512000001</v>
      </c>
      <c r="O82" s="51">
        <f t="shared" si="54"/>
        <v>-0.071446948799999965</v>
      </c>
      <c r="P82" s="51">
        <f t="shared" si="55"/>
        <v>0.071446948799999965</v>
      </c>
      <c r="Q82" s="52">
        <f t="shared" si="58"/>
        <v>-6.5476536312849127</v>
      </c>
      <c r="R82" s="52">
        <f t="shared" si="59"/>
        <v>6.5476536312849127</v>
      </c>
      <c r="T82" s="52">
        <v>115.42395900875303</v>
      </c>
      <c r="U82" s="52">
        <v>2.1653280000000001</v>
      </c>
      <c r="V82" s="52">
        <v>2.4917410000000002</v>
      </c>
      <c r="W82" s="52">
        <f t="shared" si="60"/>
        <v>0.32641300000000006</v>
      </c>
      <c r="X82" s="52">
        <f t="shared" si="61"/>
        <v>0.32641300000000006</v>
      </c>
      <c r="Y82" s="52">
        <f t="shared" si="63"/>
        <v>35.181222705867924</v>
      </c>
      <c r="Z82" s="52">
        <f t="shared" si="64"/>
        <v>0.65999197440000013</v>
      </c>
      <c r="AA82" s="52">
        <f t="shared" si="65"/>
        <v>0.75948265680000016</v>
      </c>
      <c r="AB82" s="52">
        <f t="shared" si="66"/>
        <v>0.09949068240000003</v>
      </c>
      <c r="AC82" s="52">
        <f t="shared" si="67"/>
        <v>0.09949068240000003</v>
      </c>
      <c r="AD82" s="52">
        <f t="shared" si="62"/>
        <v>15.074529124455974</v>
      </c>
      <c r="AE82" s="52">
        <f t="shared" si="41"/>
        <v>15.074529124455974</v>
      </c>
    </row>
    <row r="83">
      <c r="B83" s="46">
        <v>1078</v>
      </c>
      <c r="C83" s="46">
        <v>2207959.0619999999</v>
      </c>
      <c r="D83" s="46">
        <v>6730504.5449999999</v>
      </c>
      <c r="E83" s="46">
        <v>146.964</v>
      </c>
      <c r="F83" s="46">
        <v>795</v>
      </c>
      <c r="G83" s="52">
        <v>126.36502157131582</v>
      </c>
      <c r="H83" s="46">
        <v>3.5600000000000001</v>
      </c>
      <c r="I83" s="46">
        <v>2.9569179999999999</v>
      </c>
      <c r="J83" s="46">
        <f t="shared" si="56"/>
        <v>-0.60308200000000012</v>
      </c>
      <c r="K83" s="46">
        <f t="shared" si="57"/>
        <v>0.60308200000000012</v>
      </c>
      <c r="L83" s="51">
        <f t="shared" si="51"/>
        <v>38.516058574937063</v>
      </c>
      <c r="M83" s="51">
        <f t="shared" si="52"/>
        <v>1.0850880000000001</v>
      </c>
      <c r="N83" s="51">
        <f t="shared" si="53"/>
        <v>0.90126860640000006</v>
      </c>
      <c r="O83" s="51">
        <f t="shared" si="54"/>
        <v>-0.18381939360000005</v>
      </c>
      <c r="P83" s="51">
        <f t="shared" si="55"/>
        <v>0.18381939360000005</v>
      </c>
      <c r="Q83" s="52">
        <f t="shared" si="58"/>
        <v>-16.940505617977532</v>
      </c>
      <c r="R83" s="52">
        <f t="shared" si="59"/>
        <v>16.940505617977532</v>
      </c>
      <c r="T83" s="52">
        <v>126.36502157131582</v>
      </c>
      <c r="U83" s="52">
        <v>1.95</v>
      </c>
      <c r="V83" s="52">
        <v>2.0362800000000001</v>
      </c>
      <c r="W83" s="52">
        <f t="shared" si="60"/>
        <v>0.086280000000000134</v>
      </c>
      <c r="X83" s="52">
        <f t="shared" si="61"/>
        <v>0.086280000000000134</v>
      </c>
      <c r="Y83" s="52">
        <f t="shared" si="63"/>
        <v>38.516058574937063</v>
      </c>
      <c r="Z83" s="52">
        <f t="shared" si="64"/>
        <v>0.59436</v>
      </c>
      <c r="AA83" s="52">
        <f t="shared" si="65"/>
        <v>0.62065814400000008</v>
      </c>
      <c r="AB83" s="52">
        <f t="shared" si="66"/>
        <v>0.026298144000000041</v>
      </c>
      <c r="AC83" s="52">
        <f t="shared" si="67"/>
        <v>0.026298144000000041</v>
      </c>
      <c r="AD83" s="52">
        <f t="shared" si="62"/>
        <v>4.4246153846153922</v>
      </c>
      <c r="AE83" s="52">
        <f t="shared" si="41"/>
        <v>4.4246153846153922</v>
      </c>
    </row>
    <row r="84">
      <c r="B84" s="46">
        <v>1079</v>
      </c>
      <c r="C84" s="46">
        <v>2207971.247</v>
      </c>
      <c r="D84" s="46">
        <v>6730502.1270000003</v>
      </c>
      <c r="E84" s="46">
        <v>147.393</v>
      </c>
      <c r="F84" s="46">
        <v>795</v>
      </c>
      <c r="G84" s="52">
        <v>138.78761989048465</v>
      </c>
      <c r="H84" s="46">
        <v>2.7599999999999998</v>
      </c>
      <c r="I84" s="46">
        <v>2.5531329999999999</v>
      </c>
      <c r="J84" s="46">
        <f t="shared" si="56"/>
        <v>-0.20686699999999991</v>
      </c>
      <c r="K84" s="46">
        <f t="shared" si="57"/>
        <v>0.20686699999999991</v>
      </c>
      <c r="L84" s="51">
        <f t="shared" si="51"/>
        <v>42.302466542619726</v>
      </c>
      <c r="M84" s="51">
        <f t="shared" si="52"/>
        <v>0.841248</v>
      </c>
      <c r="N84" s="51">
        <f t="shared" si="53"/>
        <v>0.77819493839999998</v>
      </c>
      <c r="O84" s="51">
        <f t="shared" si="54"/>
        <v>-0.063053061599999974</v>
      </c>
      <c r="P84" s="51">
        <f t="shared" si="55"/>
        <v>0.063053061599999974</v>
      </c>
      <c r="Q84" s="52">
        <f t="shared" si="58"/>
        <v>-7.4951811594202873</v>
      </c>
      <c r="R84" s="52">
        <f t="shared" si="59"/>
        <v>7.4951811594202873</v>
      </c>
      <c r="T84" s="52">
        <v>138.78761989048465</v>
      </c>
      <c r="U84" s="52">
        <v>1.541976</v>
      </c>
      <c r="V84" s="52">
        <v>1.9769950000000001</v>
      </c>
      <c r="W84" s="52">
        <f t="shared" si="60"/>
        <v>0.43501900000000004</v>
      </c>
      <c r="X84" s="52">
        <f t="shared" si="61"/>
        <v>0.43501900000000004</v>
      </c>
      <c r="Y84" s="52">
        <f t="shared" si="63"/>
        <v>42.302466542619726</v>
      </c>
      <c r="Z84" s="52">
        <f t="shared" si="64"/>
        <v>0.46999428480000005</v>
      </c>
      <c r="AA84" s="52">
        <f t="shared" si="65"/>
        <v>0.60258807600000008</v>
      </c>
      <c r="AB84" s="52">
        <f t="shared" si="66"/>
        <v>0.13259379120000003</v>
      </c>
      <c r="AC84" s="52">
        <f t="shared" si="67"/>
        <v>0.13259379120000003</v>
      </c>
      <c r="AD84" s="52">
        <f t="shared" si="62"/>
        <v>28.211787991512193</v>
      </c>
      <c r="AE84" s="52">
        <f t="shared" si="41"/>
        <v>28.211787991512193</v>
      </c>
    </row>
    <row r="85">
      <c r="B85" s="46">
        <v>1080</v>
      </c>
      <c r="C85" s="46">
        <v>2207986.4589999998</v>
      </c>
      <c r="D85" s="46">
        <v>6730498.517</v>
      </c>
      <c r="E85" s="46">
        <v>147.476</v>
      </c>
      <c r="F85" s="46">
        <v>795</v>
      </c>
      <c r="G85" s="52">
        <v>154.42210242100333</v>
      </c>
      <c r="H85" s="46">
        <v>1.4399999999999999</v>
      </c>
      <c r="I85" s="46">
        <v>2.1503899999999998</v>
      </c>
      <c r="J85" s="46">
        <f t="shared" si="56"/>
        <v>0.71038999999999985</v>
      </c>
      <c r="K85" s="46">
        <f t="shared" si="57"/>
        <v>0.71038999999999985</v>
      </c>
      <c r="L85" s="51">
        <f t="shared" si="51"/>
        <v>47.067856817921815</v>
      </c>
      <c r="M85" s="51">
        <f t="shared" si="52"/>
        <v>0.43891200000000002</v>
      </c>
      <c r="N85" s="51">
        <f t="shared" si="53"/>
        <v>0.65543887199999995</v>
      </c>
      <c r="O85" s="51">
        <f t="shared" si="54"/>
        <v>0.21652687199999995</v>
      </c>
      <c r="P85" s="51">
        <f t="shared" si="55"/>
        <v>0.21652687199999995</v>
      </c>
      <c r="Q85" s="52">
        <f t="shared" si="58"/>
        <v>49.33263888888888</v>
      </c>
      <c r="R85" s="52">
        <f t="shared" si="59"/>
        <v>49.33263888888888</v>
      </c>
      <c r="T85" s="52">
        <v>154.42210242100333</v>
      </c>
      <c r="U85" s="52">
        <v>1.3500000000000001</v>
      </c>
      <c r="V85" s="52">
        <v>1.7247429999999999</v>
      </c>
      <c r="W85" s="52">
        <f t="shared" si="60"/>
        <v>0.37474299999999983</v>
      </c>
      <c r="X85" s="52">
        <f t="shared" si="61"/>
        <v>0.37474299999999983</v>
      </c>
      <c r="Y85" s="52">
        <f t="shared" si="63"/>
        <v>47.067856817921815</v>
      </c>
      <c r="Z85" s="52">
        <f t="shared" si="64"/>
        <v>0.41148000000000007</v>
      </c>
      <c r="AA85" s="52">
        <f t="shared" si="65"/>
        <v>0.52570166640000004</v>
      </c>
      <c r="AB85" s="52">
        <f t="shared" si="66"/>
        <v>0.11422166639999995</v>
      </c>
      <c r="AC85" s="52">
        <f t="shared" si="67"/>
        <v>0.11422166639999995</v>
      </c>
      <c r="AD85" s="52">
        <f t="shared" si="62"/>
        <v>27.758740740740727</v>
      </c>
      <c r="AE85" s="52">
        <f t="shared" si="41"/>
        <v>27.758740740740727</v>
      </c>
    </row>
    <row r="86">
      <c r="B86" s="46">
        <v>1081</v>
      </c>
      <c r="C86" s="46">
        <v>2207999.2749999999</v>
      </c>
      <c r="D86" s="46">
        <v>6730495.2079999996</v>
      </c>
      <c r="E86" s="46">
        <v>147.78200000000001</v>
      </c>
      <c r="F86" s="46">
        <v>795</v>
      </c>
      <c r="G86" s="52">
        <v>167.65839106265571</v>
      </c>
      <c r="H86" s="46">
        <v>0.39000000000000001</v>
      </c>
      <c r="I86" s="46">
        <v>1.738982</v>
      </c>
      <c r="J86" s="46">
        <f t="shared" si="56"/>
        <v>1.3489819999999999</v>
      </c>
      <c r="K86" s="46">
        <f t="shared" si="57"/>
        <v>1.3489819999999999</v>
      </c>
      <c r="L86" s="51">
        <f t="shared" si="51"/>
        <v>51.102277595897462</v>
      </c>
      <c r="M86" s="51">
        <f t="shared" si="52"/>
        <v>0.11887200000000001</v>
      </c>
      <c r="N86" s="51">
        <f t="shared" si="53"/>
        <v>0.53004171360000008</v>
      </c>
      <c r="O86" s="51">
        <f t="shared" si="54"/>
        <v>0.41116971359999999</v>
      </c>
      <c r="P86" s="51">
        <f t="shared" si="55"/>
        <v>0.41116971359999999</v>
      </c>
      <c r="Q86" s="52">
        <f t="shared" si="58"/>
        <v>345.89282051282049</v>
      </c>
      <c r="R86" s="52">
        <f t="shared" si="59"/>
        <v>345.89282051282049</v>
      </c>
      <c r="T86" s="52">
        <v>167.65839106265571</v>
      </c>
      <c r="U86" s="52">
        <v>0.88581600000000005</v>
      </c>
      <c r="V86" s="52">
        <v>1.271498</v>
      </c>
      <c r="W86" s="52">
        <f t="shared" si="60"/>
        <v>0.38568199999999997</v>
      </c>
      <c r="X86" s="52">
        <f t="shared" si="61"/>
        <v>0.38568199999999997</v>
      </c>
      <c r="Y86" s="52">
        <f t="shared" si="63"/>
        <v>51.102277595897462</v>
      </c>
      <c r="Z86" s="52">
        <f t="shared" si="64"/>
        <v>0.26999671680000004</v>
      </c>
      <c r="AA86" s="52">
        <f t="shared" si="65"/>
        <v>0.38755259040000001</v>
      </c>
      <c r="AB86" s="52">
        <f t="shared" si="66"/>
        <v>0.1175558736</v>
      </c>
      <c r="AC86" s="52">
        <f t="shared" si="67"/>
        <v>0.1175558736</v>
      </c>
      <c r="AD86" s="52">
        <f t="shared" si="62"/>
        <v>43.539741887705794</v>
      </c>
      <c r="AE86" s="52">
        <f t="shared" si="41"/>
        <v>43.539741887705794</v>
      </c>
    </row>
    <row r="87" s="72" customFormat="1">
      <c r="A87" s="71" t="s">
        <v>93</v>
      </c>
      <c r="B87" s="72">
        <v>1084</v>
      </c>
      <c r="C87" s="72">
        <v>2202392.3769999999</v>
      </c>
      <c r="D87" s="72">
        <v>6718948.432</v>
      </c>
      <c r="E87" s="72">
        <v>108.044</v>
      </c>
      <c r="F87" s="72">
        <v>539</v>
      </c>
      <c r="G87" s="72">
        <v>4.7158461597257313</v>
      </c>
      <c r="H87" s="72">
        <v>0.75</v>
      </c>
      <c r="I87" s="72">
        <v>2.6615030000000002</v>
      </c>
      <c r="J87" s="72">
        <f>I87-H87</f>
        <v>1.9115030000000002</v>
      </c>
      <c r="K87" s="72">
        <f t="shared" ref="K87:K95" si="68">ABS(J87)</f>
        <v>1.9115030000000002</v>
      </c>
      <c r="L87" s="73">
        <f t="shared" si="51"/>
        <v>1.4373899094844029</v>
      </c>
      <c r="M87" s="73">
        <f t="shared" si="52"/>
        <v>0.22860000000000003</v>
      </c>
      <c r="N87" s="73">
        <f t="shared" si="53"/>
        <v>0.81122611440000014</v>
      </c>
      <c r="O87" s="73">
        <f t="shared" si="54"/>
        <v>0.58262611440000012</v>
      </c>
      <c r="P87" s="73">
        <f t="shared" si="55"/>
        <v>0.58262611440000012</v>
      </c>
      <c r="Q87" s="74">
        <f t="shared" ref="Q87:Q95" si="69">100*J87/H87</f>
        <v>254.86706666666669</v>
      </c>
      <c r="R87" s="74">
        <f t="shared" ref="R87:R95" si="70">ABS(Q87)</f>
        <v>254.86706666666669</v>
      </c>
      <c r="T87" s="72">
        <v>4.7158461597257313</v>
      </c>
      <c r="U87" s="74">
        <v>0.91862400000000011</v>
      </c>
      <c r="V87" s="74">
        <v>0.46264899999999998</v>
      </c>
      <c r="W87" s="74">
        <f>V87-U87</f>
        <v>-0.45597500000000013</v>
      </c>
      <c r="X87" s="74">
        <f t="shared" ref="X87:X95" si="71">ABS(W87)</f>
        <v>0.45597500000000013</v>
      </c>
      <c r="Y87" s="74">
        <f t="shared" si="63"/>
        <v>1.4373899094844029</v>
      </c>
      <c r="Z87" s="74">
        <f t="shared" si="64"/>
        <v>0.27999659520000003</v>
      </c>
      <c r="AA87" s="74">
        <f t="shared" si="65"/>
        <v>0.14101541519999999</v>
      </c>
      <c r="AB87" s="74">
        <f t="shared" si="66"/>
        <v>-0.13898118000000004</v>
      </c>
      <c r="AC87" s="74">
        <f t="shared" si="67"/>
        <v>0.13898118000000004</v>
      </c>
      <c r="AD87" s="74">
        <f t="shared" ref="AD87:AD95" si="72">100*W87/U87</f>
        <v>-49.636739297035575</v>
      </c>
      <c r="AE87" s="74">
        <f t="shared" si="41"/>
        <v>49.636739297035575</v>
      </c>
    </row>
    <row r="88">
      <c r="B88" s="46">
        <v>1085</v>
      </c>
      <c r="C88" s="46">
        <v>2202386.7170000002</v>
      </c>
      <c r="D88" s="46">
        <v>6718955.3770000003</v>
      </c>
      <c r="E88" s="46">
        <v>107.562</v>
      </c>
      <c r="F88" s="46">
        <v>539</v>
      </c>
      <c r="G88" s="46">
        <v>13.675122079160015</v>
      </c>
      <c r="H88" s="46">
        <v>3.8799999999999999</v>
      </c>
      <c r="I88" s="46">
        <v>4.856738</v>
      </c>
      <c r="J88" s="46">
        <f t="shared" ref="J88:J139" si="73">I88-H88</f>
        <v>0.97673800000000011</v>
      </c>
      <c r="K88" s="46">
        <f t="shared" si="68"/>
        <v>0.97673800000000011</v>
      </c>
      <c r="L88" s="51">
        <f t="shared" si="51"/>
        <v>4.1681772097279728</v>
      </c>
      <c r="M88" s="51">
        <f t="shared" si="52"/>
        <v>1.1826240000000001</v>
      </c>
      <c r="N88" s="51">
        <f t="shared" si="53"/>
        <v>1.4803337424</v>
      </c>
      <c r="O88" s="51">
        <f t="shared" si="54"/>
        <v>0.29770974240000003</v>
      </c>
      <c r="P88" s="51">
        <f t="shared" si="55"/>
        <v>0.29770974240000003</v>
      </c>
      <c r="Q88" s="52">
        <f t="shared" si="69"/>
        <v>25.173659793814437</v>
      </c>
      <c r="R88" s="52">
        <f t="shared" si="70"/>
        <v>25.173659793814437</v>
      </c>
      <c r="T88" s="46">
        <v>13.675122079160015</v>
      </c>
      <c r="U88" s="52">
        <v>1.6000000000000001</v>
      </c>
      <c r="V88" s="52">
        <v>1.542297</v>
      </c>
      <c r="W88" s="52">
        <f t="shared" ref="W88:W95" si="74">V88-U88</f>
        <v>-0.05770300000000006</v>
      </c>
      <c r="X88" s="52">
        <f t="shared" si="71"/>
        <v>0.05770300000000006</v>
      </c>
      <c r="Y88" s="52">
        <f t="shared" si="63"/>
        <v>4.1681772097279728</v>
      </c>
      <c r="Z88" s="52">
        <f t="shared" si="64"/>
        <v>0.48768000000000006</v>
      </c>
      <c r="AA88" s="52">
        <f t="shared" si="65"/>
        <v>0.47009212560000002</v>
      </c>
      <c r="AB88" s="52">
        <f t="shared" si="66"/>
        <v>-0.017587874400000019</v>
      </c>
      <c r="AC88" s="52">
        <f t="shared" si="67"/>
        <v>0.017587874400000019</v>
      </c>
      <c r="AD88" s="52">
        <f t="shared" si="72"/>
        <v>-3.6064375000000037</v>
      </c>
      <c r="AE88" s="52">
        <f t="shared" si="41"/>
        <v>3.6064375000000037</v>
      </c>
    </row>
    <row r="89">
      <c r="B89" s="46">
        <v>1086</v>
      </c>
      <c r="C89" s="46">
        <v>2202383.1579999998</v>
      </c>
      <c r="D89" s="46">
        <v>6718962.0089999996</v>
      </c>
      <c r="E89" s="46">
        <v>106.89</v>
      </c>
      <c r="F89" s="46">
        <v>539</v>
      </c>
      <c r="G89" s="46">
        <v>21.201735194835514</v>
      </c>
      <c r="H89" s="46">
        <v>4.4900000000000002</v>
      </c>
      <c r="I89" s="46">
        <v>5.7931929999999996</v>
      </c>
      <c r="J89" s="46">
        <f t="shared" si="73"/>
        <v>1.3031929999999994</v>
      </c>
      <c r="K89" s="46">
        <f t="shared" si="68"/>
        <v>1.3031929999999994</v>
      </c>
      <c r="L89" s="51">
        <f t="shared" si="51"/>
        <v>6.4622888873858653</v>
      </c>
      <c r="M89" s="51">
        <f t="shared" si="52"/>
        <v>1.3685520000000002</v>
      </c>
      <c r="N89" s="51">
        <f t="shared" si="53"/>
        <v>1.7657652263999999</v>
      </c>
      <c r="O89" s="51">
        <f t="shared" si="54"/>
        <v>0.39721322639999984</v>
      </c>
      <c r="P89" s="51">
        <f t="shared" si="55"/>
        <v>0.39721322639999984</v>
      </c>
      <c r="Q89" s="52">
        <f t="shared" si="69"/>
        <v>29.024342984409785</v>
      </c>
      <c r="R89" s="52">
        <f t="shared" si="70"/>
        <v>29.024342984409785</v>
      </c>
      <c r="T89" s="46">
        <v>21.201735194835514</v>
      </c>
      <c r="U89" s="52">
        <v>2.0997120000000002</v>
      </c>
      <c r="V89" s="52">
        <v>2.215732</v>
      </c>
      <c r="W89" s="52">
        <f t="shared" si="74"/>
        <v>0.11601999999999979</v>
      </c>
      <c r="X89" s="52">
        <f t="shared" si="71"/>
        <v>0.11601999999999979</v>
      </c>
      <c r="Y89" s="52">
        <f t="shared" si="63"/>
        <v>6.4622888873858653</v>
      </c>
      <c r="Z89" s="52">
        <f t="shared" si="64"/>
        <v>0.63999221760000014</v>
      </c>
      <c r="AA89" s="52">
        <f t="shared" si="65"/>
        <v>0.6753551136</v>
      </c>
      <c r="AB89" s="52">
        <f t="shared" si="66"/>
        <v>0.035362895999999935</v>
      </c>
      <c r="AC89" s="52">
        <f t="shared" si="67"/>
        <v>0.035362895999999935</v>
      </c>
      <c r="AD89" s="52">
        <f t="shared" si="72"/>
        <v>5.5255196903194239</v>
      </c>
      <c r="AE89" s="52">
        <f t="shared" si="41"/>
        <v>5.5255196903194239</v>
      </c>
    </row>
    <row r="90">
      <c r="B90" s="46">
        <v>1087</v>
      </c>
      <c r="C90" s="46">
        <v>2202378.5819999999</v>
      </c>
      <c r="D90" s="46">
        <v>6718969.1610000003</v>
      </c>
      <c r="E90" s="46">
        <v>106.843</v>
      </c>
      <c r="F90" s="46">
        <v>539</v>
      </c>
      <c r="G90" s="46">
        <v>29.692370036174587</v>
      </c>
      <c r="H90" s="46">
        <v>4.04</v>
      </c>
      <c r="I90" s="46">
        <v>6.309971</v>
      </c>
      <c r="J90" s="46">
        <f t="shared" si="73"/>
        <v>2.269971</v>
      </c>
      <c r="K90" s="46">
        <f t="shared" si="68"/>
        <v>2.269971</v>
      </c>
      <c r="L90" s="51">
        <f t="shared" si="51"/>
        <v>9.0502343870260145</v>
      </c>
      <c r="M90" s="51">
        <f t="shared" si="52"/>
        <v>1.231392</v>
      </c>
      <c r="N90" s="51">
        <f t="shared" si="53"/>
        <v>1.9232791608000002</v>
      </c>
      <c r="O90" s="51">
        <f t="shared" si="54"/>
        <v>0.69188716080000001</v>
      </c>
      <c r="P90" s="51">
        <f t="shared" si="55"/>
        <v>0.69188716080000001</v>
      </c>
      <c r="Q90" s="52">
        <f t="shared" si="69"/>
        <v>56.187400990099007</v>
      </c>
      <c r="R90" s="52">
        <f t="shared" si="70"/>
        <v>56.187400990099007</v>
      </c>
      <c r="T90" s="46">
        <v>29.692370036174587</v>
      </c>
      <c r="U90" s="52">
        <v>1.5</v>
      </c>
      <c r="V90" s="52">
        <v>2.431565</v>
      </c>
      <c r="W90" s="52">
        <f t="shared" si="74"/>
        <v>0.93156499999999998</v>
      </c>
      <c r="X90" s="52">
        <f t="shared" si="71"/>
        <v>0.93156499999999998</v>
      </c>
      <c r="Y90" s="52">
        <f t="shared" si="63"/>
        <v>9.0502343870260145</v>
      </c>
      <c r="Z90" s="52">
        <f t="shared" si="64"/>
        <v>0.45720000000000005</v>
      </c>
      <c r="AA90" s="52">
        <f t="shared" si="65"/>
        <v>0.74114101200000004</v>
      </c>
      <c r="AB90" s="52">
        <f t="shared" si="66"/>
        <v>0.28394101199999999</v>
      </c>
      <c r="AC90" s="52">
        <f t="shared" si="67"/>
        <v>0.28394101199999999</v>
      </c>
      <c r="AD90" s="52">
        <f t="shared" si="72"/>
        <v>62.104333333333329</v>
      </c>
      <c r="AE90" s="52">
        <f t="shared" si="41"/>
        <v>62.104333333333329</v>
      </c>
    </row>
    <row r="91">
      <c r="B91" s="46">
        <v>1088</v>
      </c>
      <c r="C91" s="46">
        <v>2202373.1260000002</v>
      </c>
      <c r="D91" s="46">
        <v>6718977.568</v>
      </c>
      <c r="E91" s="46">
        <v>107.124</v>
      </c>
      <c r="F91" s="46">
        <v>539</v>
      </c>
      <c r="G91" s="46">
        <v>39.714624522654049</v>
      </c>
      <c r="H91" s="46">
        <v>4.4800000000000004</v>
      </c>
      <c r="I91" s="46">
        <v>6.4902100000000003</v>
      </c>
      <c r="J91" s="46">
        <f t="shared" si="73"/>
        <v>2.0102099999999998</v>
      </c>
      <c r="K91" s="46">
        <f t="shared" si="68"/>
        <v>2.0102099999999998</v>
      </c>
      <c r="L91" s="51">
        <f t="shared" si="51"/>
        <v>12.105017554504954</v>
      </c>
      <c r="M91" s="51">
        <f t="shared" si="52"/>
        <v>1.3655040000000003</v>
      </c>
      <c r="N91" s="51">
        <f t="shared" si="53"/>
        <v>1.9782160080000002</v>
      </c>
      <c r="O91" s="51">
        <f t="shared" si="54"/>
        <v>0.61271200800000003</v>
      </c>
      <c r="P91" s="51">
        <f t="shared" si="55"/>
        <v>0.61271200800000003</v>
      </c>
      <c r="Q91" s="52">
        <f t="shared" si="69"/>
        <v>44.870758928571419</v>
      </c>
      <c r="R91" s="52">
        <f t="shared" si="70"/>
        <v>44.870758928571419</v>
      </c>
      <c r="T91" s="46">
        <v>39.714624522654049</v>
      </c>
      <c r="U91" s="52">
        <v>2</v>
      </c>
      <c r="V91" s="52">
        <v>1.8967069999999999</v>
      </c>
      <c r="W91" s="52">
        <f t="shared" si="74"/>
        <v>-0.10329300000000008</v>
      </c>
      <c r="X91" s="52">
        <f t="shared" si="71"/>
        <v>0.10329300000000008</v>
      </c>
      <c r="Y91" s="52">
        <f t="shared" si="63"/>
        <v>12.105017554504954</v>
      </c>
      <c r="Z91" s="52">
        <f t="shared" si="64"/>
        <v>0.60960000000000003</v>
      </c>
      <c r="AA91" s="52">
        <f t="shared" si="65"/>
        <v>0.57811629360000005</v>
      </c>
      <c r="AB91" s="52">
        <f t="shared" si="66"/>
        <v>-0.031483706400000026</v>
      </c>
      <c r="AC91" s="52">
        <f t="shared" si="67"/>
        <v>0.031483706400000026</v>
      </c>
      <c r="AD91" s="52">
        <f t="shared" si="72"/>
        <v>-5.1646500000000035</v>
      </c>
      <c r="AE91" s="52">
        <f t="shared" si="41"/>
        <v>5.1646500000000035</v>
      </c>
    </row>
    <row r="92">
      <c r="B92" s="46">
        <v>1089</v>
      </c>
      <c r="C92" s="46">
        <v>2202367.2239999999</v>
      </c>
      <c r="D92" s="46">
        <v>6718985.5410000002</v>
      </c>
      <c r="E92" s="46">
        <v>108.384</v>
      </c>
      <c r="F92" s="46">
        <v>539</v>
      </c>
      <c r="G92" s="46">
        <v>49.63441953094194</v>
      </c>
      <c r="H92" s="46">
        <v>3.5099999999999998</v>
      </c>
      <c r="I92" s="46">
        <v>5.7343159999999997</v>
      </c>
      <c r="J92" s="46">
        <f t="shared" si="73"/>
        <v>2.224316</v>
      </c>
      <c r="K92" s="46">
        <f t="shared" si="68"/>
        <v>2.224316</v>
      </c>
      <c r="L92" s="51">
        <f t="shared" si="51"/>
        <v>15.128571073031104</v>
      </c>
      <c r="M92" s="51">
        <f t="shared" si="52"/>
        <v>1.0698479999999999</v>
      </c>
      <c r="N92" s="51">
        <f t="shared" si="53"/>
        <v>1.7478195167999999</v>
      </c>
      <c r="O92" s="51">
        <f t="shared" si="54"/>
        <v>0.67797151680000001</v>
      </c>
      <c r="P92" s="51">
        <f t="shared" si="55"/>
        <v>0.67797151680000001</v>
      </c>
      <c r="Q92" s="52">
        <f t="shared" si="69"/>
        <v>63.370826210826216</v>
      </c>
      <c r="R92" s="52">
        <f t="shared" si="70"/>
        <v>63.370826210826216</v>
      </c>
      <c r="T92" s="46">
        <v>49.63441953094194</v>
      </c>
      <c r="U92" s="52">
        <v>0.75458400000000003</v>
      </c>
      <c r="V92" s="52">
        <v>1.0168299999999999</v>
      </c>
      <c r="W92" s="52">
        <f t="shared" si="74"/>
        <v>0.26224599999999987</v>
      </c>
      <c r="X92" s="52">
        <f t="shared" si="71"/>
        <v>0.26224599999999987</v>
      </c>
      <c r="Y92" s="52">
        <f t="shared" si="63"/>
        <v>15.128571073031104</v>
      </c>
      <c r="Z92" s="52">
        <f t="shared" si="64"/>
        <v>0.22999720320000003</v>
      </c>
      <c r="AA92" s="52">
        <f t="shared" si="65"/>
        <v>0.30992978399999999</v>
      </c>
      <c r="AB92" s="52">
        <f t="shared" si="66"/>
        <v>0.079932580799999958</v>
      </c>
      <c r="AC92" s="52">
        <f t="shared" si="67"/>
        <v>0.079932580799999958</v>
      </c>
      <c r="AD92" s="52">
        <f t="shared" si="72"/>
        <v>34.753718605218225</v>
      </c>
      <c r="AE92" s="52">
        <f t="shared" si="41"/>
        <v>34.753718605218225</v>
      </c>
    </row>
    <row r="93">
      <c r="B93" s="46">
        <v>1090</v>
      </c>
      <c r="C93" s="46">
        <v>2202360.861</v>
      </c>
      <c r="D93" s="46">
        <v>6718992.6279999996</v>
      </c>
      <c r="E93" s="46">
        <v>107.854</v>
      </c>
      <c r="F93" s="46">
        <v>539</v>
      </c>
      <c r="G93" s="46">
        <v>59.158774521679661</v>
      </c>
      <c r="H93" s="46">
        <v>0.89000000000000001</v>
      </c>
      <c r="I93" s="46">
        <v>3.583205</v>
      </c>
      <c r="J93" s="46">
        <f t="shared" si="73"/>
        <v>2.6932049999999998</v>
      </c>
      <c r="K93" s="46">
        <f t="shared" si="68"/>
        <v>2.6932049999999998</v>
      </c>
      <c r="L93" s="51">
        <f t="shared" si="51"/>
        <v>18.03159447420796</v>
      </c>
      <c r="M93" s="51">
        <f t="shared" si="52"/>
        <v>0.27127200000000001</v>
      </c>
      <c r="N93" s="51">
        <f t="shared" si="53"/>
        <v>1.0921608840000001</v>
      </c>
      <c r="O93" s="51">
        <f t="shared" si="54"/>
        <v>0.82088888400000004</v>
      </c>
      <c r="P93" s="51">
        <f t="shared" si="55"/>
        <v>0.82088888400000004</v>
      </c>
      <c r="Q93" s="52">
        <f t="shared" si="69"/>
        <v>302.6073033707865</v>
      </c>
      <c r="R93" s="52">
        <f t="shared" si="70"/>
        <v>302.6073033707865</v>
      </c>
      <c r="T93" s="46">
        <v>59.158774521679661</v>
      </c>
      <c r="U93" s="52">
        <v>0.91862400000000011</v>
      </c>
      <c r="V93" s="52">
        <v>0.49118299999999998</v>
      </c>
      <c r="W93" s="52">
        <f t="shared" si="74"/>
        <v>-0.42744100000000013</v>
      </c>
      <c r="X93" s="52">
        <f t="shared" si="71"/>
        <v>0.42744100000000013</v>
      </c>
      <c r="Y93" s="52">
        <f t="shared" si="63"/>
        <v>18.03159447420796</v>
      </c>
      <c r="Z93" s="52">
        <f t="shared" si="64"/>
        <v>0.27999659520000003</v>
      </c>
      <c r="AA93" s="52">
        <f t="shared" si="65"/>
        <v>0.14971257839999999</v>
      </c>
      <c r="AB93" s="52">
        <f t="shared" si="66"/>
        <v>-0.13028401680000004</v>
      </c>
      <c r="AC93" s="52">
        <f t="shared" si="67"/>
        <v>0.13028401680000004</v>
      </c>
      <c r="AD93" s="52">
        <f t="shared" si="72"/>
        <v>-46.530571811753234</v>
      </c>
      <c r="AE93" s="52">
        <f t="shared" si="41"/>
        <v>46.530571811753234</v>
      </c>
    </row>
    <row r="94">
      <c r="B94" s="46">
        <v>1095</v>
      </c>
      <c r="C94" s="46">
        <v>2202319.3999999999</v>
      </c>
      <c r="D94" s="46">
        <v>6719026.1859999998</v>
      </c>
      <c r="E94" s="46">
        <v>108.361</v>
      </c>
      <c r="F94" s="46">
        <v>539</v>
      </c>
      <c r="G94" s="46">
        <v>112.60778062660502</v>
      </c>
      <c r="H94" s="46">
        <v>0.83999999999999997</v>
      </c>
      <c r="I94" s="46">
        <v>1.6053550000000001</v>
      </c>
      <c r="J94" s="46">
        <f t="shared" si="73"/>
        <v>0.76535500000000012</v>
      </c>
      <c r="K94" s="46">
        <f t="shared" si="68"/>
        <v>0.76535500000000012</v>
      </c>
      <c r="L94" s="51">
        <f t="shared" si="51"/>
        <v>34.322851534989212</v>
      </c>
      <c r="M94" s="51">
        <f t="shared" si="52"/>
        <v>0.25603199999999998</v>
      </c>
      <c r="N94" s="51">
        <f t="shared" si="53"/>
        <v>0.48931220400000003</v>
      </c>
      <c r="O94" s="51">
        <f t="shared" si="54"/>
        <v>0.23328020400000005</v>
      </c>
      <c r="P94" s="51">
        <f t="shared" si="55"/>
        <v>0.23328020400000005</v>
      </c>
      <c r="Q94" s="52">
        <f t="shared" si="69"/>
        <v>91.113690476190499</v>
      </c>
      <c r="R94" s="52">
        <f t="shared" si="70"/>
        <v>91.113690476190499</v>
      </c>
      <c r="T94" s="46">
        <v>112.60778062660502</v>
      </c>
      <c r="U94" s="52">
        <v>0.59999999999999998</v>
      </c>
      <c r="V94" s="52">
        <v>0.26227499999999998</v>
      </c>
      <c r="W94" s="52">
        <f t="shared" si="74"/>
        <v>-0.337725</v>
      </c>
      <c r="X94" s="52">
        <f t="shared" si="71"/>
        <v>0.337725</v>
      </c>
      <c r="Y94" s="52">
        <f t="shared" si="63"/>
        <v>34.322851534989212</v>
      </c>
      <c r="Z94" s="52">
        <f t="shared" si="64"/>
        <v>0.18288000000000001</v>
      </c>
      <c r="AA94" s="52">
        <f t="shared" si="65"/>
        <v>0.079941419999999999</v>
      </c>
      <c r="AB94" s="52">
        <f t="shared" si="66"/>
        <v>-0.10293858</v>
      </c>
      <c r="AC94" s="52">
        <f t="shared" si="67"/>
        <v>0.10293858</v>
      </c>
      <c r="AD94" s="52">
        <f t="shared" si="72"/>
        <v>-56.287500000000001</v>
      </c>
      <c r="AE94" s="52">
        <f t="shared" si="41"/>
        <v>56.287500000000001</v>
      </c>
    </row>
    <row r="95">
      <c r="B95" s="46">
        <v>1096</v>
      </c>
      <c r="C95" s="46">
        <v>2202314.426</v>
      </c>
      <c r="D95" s="46">
        <v>6719029.2539999997</v>
      </c>
      <c r="E95" s="46">
        <v>108.307</v>
      </c>
      <c r="F95" s="46">
        <v>539</v>
      </c>
      <c r="G95" s="46">
        <v>118.4518631037021</v>
      </c>
      <c r="H95" s="46">
        <v>0.39000000000000001</v>
      </c>
      <c r="I95" s="46">
        <v>1.250189</v>
      </c>
      <c r="J95" s="46">
        <f t="shared" si="73"/>
        <v>0.86018899999999998</v>
      </c>
      <c r="K95" s="46">
        <f t="shared" si="68"/>
        <v>0.86018899999999998</v>
      </c>
      <c r="L95" s="51">
        <f t="shared" si="51"/>
        <v>36.104127874008398</v>
      </c>
      <c r="M95" s="51">
        <f t="shared" si="52"/>
        <v>0.11887200000000001</v>
      </c>
      <c r="N95" s="51">
        <f t="shared" si="53"/>
        <v>0.38105760720000004</v>
      </c>
      <c r="O95" s="51">
        <f t="shared" si="54"/>
        <v>0.2621856072</v>
      </c>
      <c r="P95" s="51">
        <f t="shared" si="55"/>
        <v>0.2621856072</v>
      </c>
      <c r="Q95" s="52">
        <f t="shared" si="69"/>
        <v>220.56128205128206</v>
      </c>
      <c r="R95" s="52">
        <f t="shared" si="70"/>
        <v>220.56128205128206</v>
      </c>
      <c r="T95" s="46">
        <v>118.4518631037021</v>
      </c>
      <c r="U95" s="52">
        <v>0.32808000000000004</v>
      </c>
      <c r="V95" s="52">
        <v>0.282831</v>
      </c>
      <c r="W95" s="52">
        <f t="shared" si="74"/>
        <v>-0.045249000000000039</v>
      </c>
      <c r="X95" s="52">
        <f t="shared" si="71"/>
        <v>0.045249000000000039</v>
      </c>
      <c r="Y95" s="52">
        <f t="shared" si="63"/>
        <v>36.104127874008398</v>
      </c>
      <c r="Z95" s="52">
        <f t="shared" si="64"/>
        <v>0.099998784000000021</v>
      </c>
      <c r="AA95" s="52">
        <f t="shared" si="65"/>
        <v>0.086206888800000006</v>
      </c>
      <c r="AB95" s="52">
        <f t="shared" si="66"/>
        <v>-0.013791895200000013</v>
      </c>
      <c r="AC95" s="52">
        <f t="shared" si="67"/>
        <v>0.013791895200000013</v>
      </c>
      <c r="AD95" s="52">
        <f t="shared" si="72"/>
        <v>-13.792062911485015</v>
      </c>
      <c r="AE95" s="52">
        <f t="shared" si="41"/>
        <v>13.792062911485015</v>
      </c>
    </row>
    <row r="96" s="72" customFormat="1">
      <c r="A96" s="75" t="s">
        <v>90</v>
      </c>
      <c r="B96" s="72">
        <v>1097</v>
      </c>
      <c r="C96" s="72">
        <v>2201807.8119999999</v>
      </c>
      <c r="D96" s="72">
        <v>6718418.6390000004</v>
      </c>
      <c r="E96" s="72">
        <v>107.675</v>
      </c>
      <c r="F96" s="72">
        <v>539</v>
      </c>
      <c r="G96" s="72">
        <v>11.30655177278736</v>
      </c>
      <c r="H96" s="72">
        <v>0.62</v>
      </c>
      <c r="I96" s="72">
        <v>0.27717199999999997</v>
      </c>
      <c r="J96" s="72">
        <f t="shared" si="73"/>
        <v>-0.34282800000000002</v>
      </c>
      <c r="K96" s="72">
        <f t="shared" ref="K96:K111" si="75">ABS(J96)</f>
        <v>0.34282800000000002</v>
      </c>
      <c r="L96" s="73">
        <f t="shared" si="51"/>
        <v>3.4462369803455877</v>
      </c>
      <c r="M96" s="73">
        <f t="shared" si="52"/>
        <v>0.18897600000000001</v>
      </c>
      <c r="N96" s="73">
        <f t="shared" si="53"/>
        <v>0.084482025599999996</v>
      </c>
      <c r="O96" s="73">
        <f t="shared" si="54"/>
        <v>-0.10449397440000001</v>
      </c>
      <c r="P96" s="73">
        <f t="shared" si="55"/>
        <v>0.10449397440000001</v>
      </c>
      <c r="Q96" s="74">
        <f t="shared" ref="Q96:Q111" si="76">100*J96/H96</f>
        <v>-55.294838709677421</v>
      </c>
      <c r="R96" s="74">
        <f t="shared" ref="R96:R111" si="77">ABS(Q96)</f>
        <v>55.294838709677421</v>
      </c>
      <c r="T96" s="72">
        <v>11.30655177278736</v>
      </c>
      <c r="U96" s="74">
        <v>0.82020000000000004</v>
      </c>
      <c r="V96" s="74">
        <v>0.30237599999999998</v>
      </c>
      <c r="W96" s="74">
        <f t="shared" ref="W96:W111" si="78">V96-U96</f>
        <v>-0.51782400000000006</v>
      </c>
      <c r="X96" s="74">
        <f t="shared" ref="X96:X111" si="79">ABS(W96)</f>
        <v>0.51782400000000006</v>
      </c>
      <c r="Y96" s="74">
        <f t="shared" si="63"/>
        <v>3.4462369803455877</v>
      </c>
      <c r="Z96" s="74">
        <f t="shared" si="64"/>
        <v>0.24999696000000002</v>
      </c>
      <c r="AA96" s="74">
        <f t="shared" si="65"/>
        <v>0.092164204799999996</v>
      </c>
      <c r="AB96" s="74">
        <f t="shared" si="66"/>
        <v>-0.15783275520000004</v>
      </c>
      <c r="AC96" s="74">
        <f t="shared" si="67"/>
        <v>0.15783275520000004</v>
      </c>
      <c r="AD96" s="74">
        <f t="shared" ref="AD96:AD111" si="80">100*W96/U96</f>
        <v>-63.133869787856632</v>
      </c>
      <c r="AE96" s="74">
        <f t="shared" si="41"/>
        <v>63.133869787856632</v>
      </c>
    </row>
    <row r="97">
      <c r="B97" s="46">
        <v>1098</v>
      </c>
      <c r="C97" s="46">
        <v>2201817.0260000001</v>
      </c>
      <c r="D97" s="46">
        <v>6718411.0839999998</v>
      </c>
      <c r="E97" s="46">
        <v>106.994</v>
      </c>
      <c r="F97" s="46">
        <v>539</v>
      </c>
      <c r="G97" s="46">
        <v>23.221912489626099</v>
      </c>
      <c r="H97" s="46">
        <v>1.0800000000000001</v>
      </c>
      <c r="I97" s="46">
        <v>0.63175599999999998</v>
      </c>
      <c r="J97" s="46">
        <f t="shared" si="73"/>
        <v>-0.44824400000000009</v>
      </c>
      <c r="K97" s="46">
        <f t="shared" si="75"/>
        <v>0.44824400000000009</v>
      </c>
      <c r="L97" s="51">
        <f t="shared" si="51"/>
        <v>7.078038926838035</v>
      </c>
      <c r="M97" s="51">
        <f t="shared" si="52"/>
        <v>0.32918400000000003</v>
      </c>
      <c r="N97" s="51">
        <f t="shared" si="53"/>
        <v>0.19255922880000001</v>
      </c>
      <c r="O97" s="51">
        <f t="shared" si="54"/>
        <v>-0.13662477120000002</v>
      </c>
      <c r="P97" s="51">
        <f t="shared" si="55"/>
        <v>0.13662477120000002</v>
      </c>
      <c r="Q97" s="52">
        <f t="shared" si="76"/>
        <v>-41.504074074074083</v>
      </c>
      <c r="R97" s="52">
        <f t="shared" si="77"/>
        <v>41.504074074074083</v>
      </c>
      <c r="T97" s="46">
        <v>23.221912489626099</v>
      </c>
      <c r="U97" s="52">
        <v>1.4763600000000001</v>
      </c>
      <c r="V97" s="52">
        <v>0.98167199999999999</v>
      </c>
      <c r="W97" s="52">
        <f t="shared" si="78"/>
        <v>-0.49468800000000013</v>
      </c>
      <c r="X97" s="52">
        <f t="shared" si="79"/>
        <v>0.49468800000000013</v>
      </c>
      <c r="Y97" s="52">
        <f t="shared" si="63"/>
        <v>7.078038926838035</v>
      </c>
      <c r="Z97" s="52">
        <f t="shared" si="64"/>
        <v>0.44999452800000006</v>
      </c>
      <c r="AA97" s="52">
        <f t="shared" si="65"/>
        <v>0.29921362560000003</v>
      </c>
      <c r="AB97" s="52">
        <f t="shared" si="66"/>
        <v>-0.15078090240000006</v>
      </c>
      <c r="AC97" s="52">
        <f t="shared" si="67"/>
        <v>0.15078090240000006</v>
      </c>
      <c r="AD97" s="52">
        <f t="shared" si="80"/>
        <v>-33.507274648459735</v>
      </c>
      <c r="AE97" s="52">
        <f t="shared" si="41"/>
        <v>33.507274648459735</v>
      </c>
    </row>
    <row r="98">
      <c r="B98" s="46">
        <v>1099</v>
      </c>
      <c r="C98" s="46">
        <v>2201825.301</v>
      </c>
      <c r="D98" s="46">
        <v>6718405.7819999997</v>
      </c>
      <c r="E98" s="46">
        <v>106.84999999999999</v>
      </c>
      <c r="F98" s="46">
        <v>539</v>
      </c>
      <c r="G98" s="46">
        <v>33.049772327859436</v>
      </c>
      <c r="H98" s="46">
        <v>0.89000000000000001</v>
      </c>
      <c r="I98" s="46">
        <v>0.85203700000000004</v>
      </c>
      <c r="J98" s="46">
        <f t="shared" si="73"/>
        <v>-0.037962999999999969</v>
      </c>
      <c r="K98" s="46">
        <f t="shared" si="75"/>
        <v>0.037962999999999969</v>
      </c>
      <c r="L98" s="51">
        <f t="shared" si="51"/>
        <v>10.073570605531557</v>
      </c>
      <c r="M98" s="51">
        <f t="shared" si="52"/>
        <v>0.27127200000000001</v>
      </c>
      <c r="N98" s="51">
        <f t="shared" si="53"/>
        <v>0.25970087760000005</v>
      </c>
      <c r="O98" s="51">
        <f t="shared" si="54"/>
        <v>-0.011571122399999991</v>
      </c>
      <c r="P98" s="51">
        <f t="shared" si="55"/>
        <v>0.011571122399999991</v>
      </c>
      <c r="Q98" s="52">
        <f t="shared" si="76"/>
        <v>-4.2655056179775244</v>
      </c>
      <c r="R98" s="52">
        <f t="shared" si="77"/>
        <v>4.2655056179775244</v>
      </c>
      <c r="T98" s="46">
        <v>33.049772327859436</v>
      </c>
      <c r="U98" s="52">
        <v>1.5</v>
      </c>
      <c r="V98" s="52">
        <v>1.5163009999999999</v>
      </c>
      <c r="W98" s="52">
        <f t="shared" si="78"/>
        <v>0.016300999999999899</v>
      </c>
      <c r="X98" s="52">
        <f t="shared" si="79"/>
        <v>0.016300999999999899</v>
      </c>
      <c r="Y98" s="52">
        <f t="shared" si="63"/>
        <v>10.073570605531557</v>
      </c>
      <c r="Z98" s="52">
        <f t="shared" si="64"/>
        <v>0.45720000000000005</v>
      </c>
      <c r="AA98" s="52">
        <f t="shared" si="65"/>
        <v>0.46216854479999997</v>
      </c>
      <c r="AB98" s="52">
        <f t="shared" si="66"/>
        <v>0.0049685447999999691</v>
      </c>
      <c r="AC98" s="52">
        <f t="shared" si="67"/>
        <v>0.0049685447999999691</v>
      </c>
      <c r="AD98" s="52">
        <f t="shared" si="80"/>
        <v>1.0867333333333267</v>
      </c>
      <c r="AE98" s="52">
        <f t="shared" si="41"/>
        <v>1.0867333333333267</v>
      </c>
    </row>
    <row r="99">
      <c r="B99" s="46">
        <v>1100</v>
      </c>
      <c r="C99" s="46">
        <v>2201833.8909999998</v>
      </c>
      <c r="D99" s="46">
        <v>6718400.7070000004</v>
      </c>
      <c r="E99" s="46">
        <v>106.602</v>
      </c>
      <c r="F99" s="46">
        <v>539</v>
      </c>
      <c r="G99" s="46">
        <v>43.026932494453817</v>
      </c>
      <c r="H99" s="46">
        <v>1.1499999999999999</v>
      </c>
      <c r="I99" s="46">
        <v>1.0036039999999999</v>
      </c>
      <c r="J99" s="46">
        <f t="shared" si="73"/>
        <v>-0.14639599999999997</v>
      </c>
      <c r="K99" s="46">
        <f t="shared" si="75"/>
        <v>0.14639599999999997</v>
      </c>
      <c r="L99" s="51">
        <f t="shared" si="51"/>
        <v>13.114609024309525</v>
      </c>
      <c r="M99" s="51">
        <f t="shared" si="52"/>
        <v>0.35052</v>
      </c>
      <c r="N99" s="51">
        <f t="shared" si="53"/>
        <v>0.30589849920000001</v>
      </c>
      <c r="O99" s="51">
        <f t="shared" si="54"/>
        <v>-0.044621500799999991</v>
      </c>
      <c r="P99" s="51">
        <f t="shared" si="55"/>
        <v>0.044621500799999991</v>
      </c>
      <c r="Q99" s="52">
        <f t="shared" si="76"/>
        <v>-12.730086956521738</v>
      </c>
      <c r="R99" s="52">
        <f t="shared" si="77"/>
        <v>12.730086956521738</v>
      </c>
      <c r="T99" s="46">
        <v>43.026932494453817</v>
      </c>
      <c r="U99" s="52">
        <v>1.8372480000000002</v>
      </c>
      <c r="V99" s="52">
        <v>2.0043280000000001</v>
      </c>
      <c r="W99" s="52">
        <f t="shared" si="78"/>
        <v>0.1670799999999999</v>
      </c>
      <c r="X99" s="52">
        <f t="shared" si="79"/>
        <v>0.1670799999999999</v>
      </c>
      <c r="Y99" s="52">
        <f t="shared" si="63"/>
        <v>13.114609024309525</v>
      </c>
      <c r="Z99" s="52">
        <f t="shared" si="64"/>
        <v>0.55999319040000006</v>
      </c>
      <c r="AA99" s="52">
        <f t="shared" si="65"/>
        <v>0.6109191744000001</v>
      </c>
      <c r="AB99" s="52">
        <f t="shared" si="66"/>
        <v>0.050925983999999973</v>
      </c>
      <c r="AC99" s="52">
        <f t="shared" si="67"/>
        <v>0.050925983999999973</v>
      </c>
      <c r="AD99" s="52">
        <f t="shared" si="80"/>
        <v>9.0940362977670901</v>
      </c>
      <c r="AE99" s="52">
        <f t="shared" ref="AE99:AE111" si="81">ABS(AD99)</f>
        <v>9.0940362977670901</v>
      </c>
    </row>
    <row r="100">
      <c r="B100" s="46">
        <v>1101</v>
      </c>
      <c r="C100" s="46">
        <v>2201843.426</v>
      </c>
      <c r="D100" s="46">
        <v>6718393.6169999996</v>
      </c>
      <c r="E100" s="46">
        <v>106.283</v>
      </c>
      <c r="F100" s="46">
        <v>539</v>
      </c>
      <c r="G100" s="46">
        <v>54.909033529789902</v>
      </c>
      <c r="H100" s="46">
        <v>1.0600000000000001</v>
      </c>
      <c r="I100" s="46">
        <v>1.1063590000000001</v>
      </c>
      <c r="J100" s="46">
        <f t="shared" si="73"/>
        <v>0.046359000000000039</v>
      </c>
      <c r="K100" s="46">
        <f t="shared" si="75"/>
        <v>0.046359000000000039</v>
      </c>
      <c r="L100" s="51">
        <f t="shared" si="51"/>
        <v>16.736273419879964</v>
      </c>
      <c r="M100" s="51">
        <f t="shared" si="52"/>
        <v>0.32308800000000004</v>
      </c>
      <c r="N100" s="51">
        <f t="shared" si="53"/>
        <v>0.33721822320000006</v>
      </c>
      <c r="O100" s="51">
        <f t="shared" si="54"/>
        <v>0.014130223200000012</v>
      </c>
      <c r="P100" s="51">
        <f t="shared" si="55"/>
        <v>0.014130223200000012</v>
      </c>
      <c r="Q100" s="52">
        <f t="shared" si="76"/>
        <v>4.3734905660377397</v>
      </c>
      <c r="R100" s="52">
        <f t="shared" si="77"/>
        <v>4.3734905660377397</v>
      </c>
      <c r="T100" s="46">
        <v>54.909033529789902</v>
      </c>
      <c r="U100" s="52">
        <v>2.2000000000000002</v>
      </c>
      <c r="V100" s="52">
        <v>2.1759810000000002</v>
      </c>
      <c r="W100" s="52">
        <f t="shared" si="78"/>
        <v>-0.024019000000000013</v>
      </c>
      <c r="X100" s="52">
        <f t="shared" si="79"/>
        <v>0.024019000000000013</v>
      </c>
      <c r="Y100" s="52">
        <f t="shared" si="63"/>
        <v>16.736273419879964</v>
      </c>
      <c r="Z100" s="52">
        <f t="shared" si="64"/>
        <v>0.67056000000000004</v>
      </c>
      <c r="AA100" s="52">
        <f t="shared" si="65"/>
        <v>0.66323900880000008</v>
      </c>
      <c r="AB100" s="52">
        <f t="shared" si="66"/>
        <v>-0.0073209912000000042</v>
      </c>
      <c r="AC100" s="52">
        <f t="shared" si="67"/>
        <v>0.0073209912000000042</v>
      </c>
      <c r="AD100" s="52">
        <f t="shared" si="80"/>
        <v>-1.0917727272727278</v>
      </c>
      <c r="AE100" s="52">
        <f t="shared" si="81"/>
        <v>1.0917727272727278</v>
      </c>
    </row>
    <row r="101">
      <c r="B101" s="46">
        <v>1102</v>
      </c>
      <c r="C101" s="46">
        <v>2201851.5839999998</v>
      </c>
      <c r="D101" s="46">
        <v>6718386.7220000001</v>
      </c>
      <c r="E101" s="46">
        <v>106.096</v>
      </c>
      <c r="F101" s="46">
        <v>539</v>
      </c>
      <c r="G101" s="46">
        <v>65.590512312754271</v>
      </c>
      <c r="H101" s="46">
        <v>1.28</v>
      </c>
      <c r="I101" s="46">
        <v>1.142069</v>
      </c>
      <c r="J101" s="46">
        <f t="shared" si="73"/>
        <v>-0.13793100000000003</v>
      </c>
      <c r="K101" s="46">
        <f t="shared" si="75"/>
        <v>0.13793100000000003</v>
      </c>
      <c r="L101" s="51">
        <f t="shared" si="51"/>
        <v>19.991988152927505</v>
      </c>
      <c r="M101" s="51">
        <f t="shared" si="52"/>
        <v>0.39014400000000005</v>
      </c>
      <c r="N101" s="51">
        <f t="shared" si="53"/>
        <v>0.34810263120000001</v>
      </c>
      <c r="O101" s="51">
        <f t="shared" si="54"/>
        <v>-0.042041368800000013</v>
      </c>
      <c r="P101" s="51">
        <f t="shared" si="55"/>
        <v>0.042041368800000013</v>
      </c>
      <c r="Q101" s="52">
        <f t="shared" si="76"/>
        <v>-10.775859375000001</v>
      </c>
      <c r="R101" s="52">
        <f t="shared" si="77"/>
        <v>10.775859375000001</v>
      </c>
      <c r="T101" s="46">
        <v>65.590512312754271</v>
      </c>
      <c r="U101" s="52">
        <v>2.3293680000000001</v>
      </c>
      <c r="V101" s="52">
        <v>2.317329</v>
      </c>
      <c r="W101" s="52">
        <f t="shared" si="78"/>
        <v>-0.012039000000000133</v>
      </c>
      <c r="X101" s="52">
        <f t="shared" si="79"/>
        <v>0.012039000000000133</v>
      </c>
      <c r="Y101" s="52">
        <f t="shared" si="63"/>
        <v>19.991988152927505</v>
      </c>
      <c r="Z101" s="52">
        <f t="shared" si="64"/>
        <v>0.70999136640000005</v>
      </c>
      <c r="AA101" s="52">
        <f t="shared" si="65"/>
        <v>0.7063218792</v>
      </c>
      <c r="AB101" s="52">
        <f t="shared" si="66"/>
        <v>-0.0036694872000000408</v>
      </c>
      <c r="AC101" s="52">
        <f t="shared" si="67"/>
        <v>0.0036694872000000408</v>
      </c>
      <c r="AD101" s="52">
        <f t="shared" si="80"/>
        <v>-0.51683546781788592</v>
      </c>
      <c r="AE101" s="52">
        <f t="shared" si="81"/>
        <v>0.51683546781788592</v>
      </c>
    </row>
    <row r="102">
      <c r="B102" s="46">
        <v>1103</v>
      </c>
      <c r="C102" s="46">
        <v>2201860.8939999999</v>
      </c>
      <c r="D102" s="46">
        <v>6718379.7520000003</v>
      </c>
      <c r="E102" s="46">
        <v>106.062</v>
      </c>
      <c r="F102" s="46">
        <v>539</v>
      </c>
      <c r="G102" s="46">
        <v>77.220516611868064</v>
      </c>
      <c r="H102" s="46">
        <v>1.1599999999999999</v>
      </c>
      <c r="I102" s="46">
        <v>1.169815</v>
      </c>
      <c r="J102" s="46">
        <f t="shared" si="73"/>
        <v>0.0098150000000001292</v>
      </c>
      <c r="K102" s="46">
        <f t="shared" si="75"/>
        <v>0.0098150000000001292</v>
      </c>
      <c r="L102" s="51">
        <f t="shared" si="51"/>
        <v>23.536813463297388</v>
      </c>
      <c r="M102" s="51">
        <f t="shared" si="52"/>
        <v>0.35356799999999999</v>
      </c>
      <c r="N102" s="51">
        <f t="shared" si="53"/>
        <v>0.35655961200000003</v>
      </c>
      <c r="O102" s="51">
        <f t="shared" si="54"/>
        <v>0.0029916120000000397</v>
      </c>
      <c r="P102" s="51">
        <f t="shared" si="55"/>
        <v>0.0029916120000000397</v>
      </c>
      <c r="Q102" s="52">
        <f t="shared" si="76"/>
        <v>0.84612068965518361</v>
      </c>
      <c r="R102" s="52">
        <f t="shared" si="77"/>
        <v>0.84612068965518361</v>
      </c>
      <c r="T102" s="46">
        <v>77.220516611868064</v>
      </c>
      <c r="U102" s="52">
        <v>2.3999999999999999</v>
      </c>
      <c r="V102" s="52">
        <v>2.4741569999999999</v>
      </c>
      <c r="W102" s="52">
        <f t="shared" si="78"/>
        <v>0.074157000000000028</v>
      </c>
      <c r="X102" s="52">
        <f t="shared" si="79"/>
        <v>0.074157000000000028</v>
      </c>
      <c r="Y102" s="52">
        <f t="shared" si="63"/>
        <v>23.536813463297388</v>
      </c>
      <c r="Z102" s="52">
        <f t="shared" si="64"/>
        <v>0.73152000000000006</v>
      </c>
      <c r="AA102" s="52">
        <f t="shared" si="65"/>
        <v>0.75412305359999998</v>
      </c>
      <c r="AB102" s="52">
        <f t="shared" si="66"/>
        <v>0.022603053600000009</v>
      </c>
      <c r="AC102" s="52">
        <f t="shared" si="67"/>
        <v>0.022603053600000009</v>
      </c>
      <c r="AD102" s="52">
        <f t="shared" si="80"/>
        <v>3.0898750000000015</v>
      </c>
      <c r="AE102" s="52">
        <f t="shared" si="81"/>
        <v>3.0898750000000015</v>
      </c>
    </row>
    <row r="103">
      <c r="B103" s="46">
        <v>1104</v>
      </c>
      <c r="C103" s="46">
        <v>2201869.145</v>
      </c>
      <c r="D103" s="46">
        <v>6718371.7819999997</v>
      </c>
      <c r="E103" s="46">
        <v>106.142</v>
      </c>
      <c r="F103" s="46">
        <v>539</v>
      </c>
      <c r="G103" s="46">
        <v>88.692216617246231</v>
      </c>
      <c r="H103" s="46">
        <v>1.25</v>
      </c>
      <c r="I103" s="46">
        <v>1.206383</v>
      </c>
      <c r="J103" s="46">
        <f t="shared" si="73"/>
        <v>-0.043617000000000017</v>
      </c>
      <c r="K103" s="46">
        <f t="shared" si="75"/>
        <v>0.043617000000000017</v>
      </c>
      <c r="L103" s="51">
        <f t="shared" si="51"/>
        <v>27.033387624936651</v>
      </c>
      <c r="M103" s="51">
        <f t="shared" si="52"/>
        <v>0.38100000000000001</v>
      </c>
      <c r="N103" s="51">
        <f t="shared" si="53"/>
        <v>0.36770553840000003</v>
      </c>
      <c r="O103" s="51">
        <f t="shared" si="54"/>
        <v>-0.013294461600000005</v>
      </c>
      <c r="P103" s="51">
        <f t="shared" si="55"/>
        <v>0.013294461600000005</v>
      </c>
      <c r="Q103" s="52">
        <f t="shared" si="76"/>
        <v>-3.4893600000000013</v>
      </c>
      <c r="R103" s="52">
        <f t="shared" si="77"/>
        <v>3.4893600000000013</v>
      </c>
      <c r="T103" s="46">
        <v>88.692216617246231</v>
      </c>
      <c r="U103" s="52">
        <v>2.2965599999999999</v>
      </c>
      <c r="V103" s="52">
        <v>2.6118769999999998</v>
      </c>
      <c r="W103" s="52">
        <f t="shared" si="78"/>
        <v>0.31531699999999985</v>
      </c>
      <c r="X103" s="52">
        <f t="shared" si="79"/>
        <v>0.31531699999999985</v>
      </c>
      <c r="Y103" s="52">
        <f t="shared" si="63"/>
        <v>27.033387624936651</v>
      </c>
      <c r="Z103" s="52">
        <f t="shared" si="64"/>
        <v>0.699991488</v>
      </c>
      <c r="AA103" s="52">
        <f t="shared" si="65"/>
        <v>0.79610010959999999</v>
      </c>
      <c r="AB103" s="52">
        <f t="shared" si="66"/>
        <v>0.096108621599999958</v>
      </c>
      <c r="AC103" s="52">
        <f t="shared" si="67"/>
        <v>0.096108621599999958</v>
      </c>
      <c r="AD103" s="52">
        <f t="shared" si="80"/>
        <v>13.729970042149994</v>
      </c>
      <c r="AE103" s="52">
        <f t="shared" si="81"/>
        <v>13.729970042149994</v>
      </c>
    </row>
    <row r="104">
      <c r="B104" s="46">
        <v>1105</v>
      </c>
      <c r="C104" s="46">
        <v>2201878.9810000001</v>
      </c>
      <c r="D104" s="46">
        <v>6718364.1529999999</v>
      </c>
      <c r="E104" s="46">
        <v>106.34699999999999</v>
      </c>
      <c r="F104" s="46">
        <v>539</v>
      </c>
      <c r="G104" s="46">
        <v>101.14004923976673</v>
      </c>
      <c r="H104" s="46">
        <v>1.1100000000000001</v>
      </c>
      <c r="I104" s="46">
        <v>1.228458</v>
      </c>
      <c r="J104" s="46">
        <f t="shared" si="73"/>
        <v>0.11845799999999995</v>
      </c>
      <c r="K104" s="46">
        <f t="shared" si="75"/>
        <v>0.11845799999999995</v>
      </c>
      <c r="L104" s="51">
        <f t="shared" si="51"/>
        <v>30.827487008280901</v>
      </c>
      <c r="M104" s="51">
        <f t="shared" si="52"/>
        <v>0.33832800000000007</v>
      </c>
      <c r="N104" s="51">
        <f t="shared" si="53"/>
        <v>0.37443399840000002</v>
      </c>
      <c r="O104" s="51">
        <f t="shared" si="54"/>
        <v>0.036105998399999985</v>
      </c>
      <c r="P104" s="51">
        <f t="shared" si="55"/>
        <v>0.036105998399999985</v>
      </c>
      <c r="Q104" s="52">
        <f t="shared" si="76"/>
        <v>10.671891891891887</v>
      </c>
      <c r="R104" s="52">
        <f t="shared" si="77"/>
        <v>10.671891891891887</v>
      </c>
      <c r="T104" s="46">
        <v>101.14004923976673</v>
      </c>
      <c r="U104" s="52">
        <v>2.2999999999999998</v>
      </c>
      <c r="V104" s="52">
        <v>2.6917490000000002</v>
      </c>
      <c r="W104" s="52">
        <f t="shared" si="78"/>
        <v>0.39174900000000035</v>
      </c>
      <c r="X104" s="52">
        <f t="shared" si="79"/>
        <v>0.39174900000000035</v>
      </c>
      <c r="Y104" s="52">
        <f t="shared" si="63"/>
        <v>30.827487008280901</v>
      </c>
      <c r="Z104" s="52">
        <f t="shared" si="64"/>
        <v>0.70104</v>
      </c>
      <c r="AA104" s="52">
        <f t="shared" si="65"/>
        <v>0.82044509520000009</v>
      </c>
      <c r="AB104" s="52">
        <f t="shared" si="66"/>
        <v>0.11940509520000012</v>
      </c>
      <c r="AC104" s="52">
        <f t="shared" si="67"/>
        <v>0.11940509520000012</v>
      </c>
      <c r="AD104" s="52">
        <f t="shared" si="80"/>
        <v>17.032565217391323</v>
      </c>
      <c r="AE104" s="52">
        <f t="shared" si="81"/>
        <v>17.032565217391323</v>
      </c>
    </row>
    <row r="105">
      <c r="B105" s="46">
        <v>1106</v>
      </c>
      <c r="C105" s="46">
        <v>2201888.0780000002</v>
      </c>
      <c r="D105" s="46">
        <v>6718355.8030000003</v>
      </c>
      <c r="E105" s="46">
        <v>105.93899999999999</v>
      </c>
      <c r="F105" s="46">
        <v>539</v>
      </c>
      <c r="G105" s="46">
        <v>113.48824380395297</v>
      </c>
      <c r="H105" s="46">
        <v>1.3100000000000001</v>
      </c>
      <c r="I105" s="46">
        <v>1.293272</v>
      </c>
      <c r="J105" s="46">
        <f t="shared" si="73"/>
        <v>-0.016728000000000076</v>
      </c>
      <c r="K105" s="46">
        <f t="shared" si="75"/>
        <v>0.016728000000000076</v>
      </c>
      <c r="L105" s="51">
        <f t="shared" si="51"/>
        <v>34.591216711444865</v>
      </c>
      <c r="M105" s="51">
        <f t="shared" si="52"/>
        <v>0.39928800000000003</v>
      </c>
      <c r="N105" s="51">
        <f t="shared" si="53"/>
        <v>0.39418930560000004</v>
      </c>
      <c r="O105" s="51">
        <f t="shared" si="54"/>
        <v>-0.0050986944000000235</v>
      </c>
      <c r="P105" s="51">
        <f t="shared" si="55"/>
        <v>0.0050986944000000235</v>
      </c>
      <c r="Q105" s="52">
        <f t="shared" si="76"/>
        <v>-1.2769465648855018</v>
      </c>
      <c r="R105" s="52">
        <f t="shared" si="77"/>
        <v>1.2769465648855018</v>
      </c>
      <c r="T105" s="46">
        <v>113.48824380395297</v>
      </c>
      <c r="U105" s="52">
        <v>2.4606000000000003</v>
      </c>
      <c r="V105" s="52">
        <v>3.137464</v>
      </c>
      <c r="W105" s="52">
        <f t="shared" si="78"/>
        <v>0.67686399999999969</v>
      </c>
      <c r="X105" s="52">
        <f t="shared" si="79"/>
        <v>0.67686399999999969</v>
      </c>
      <c r="Y105" s="52">
        <f t="shared" si="63"/>
        <v>34.591216711444865</v>
      </c>
      <c r="Z105" s="52">
        <f t="shared" si="64"/>
        <v>0.74999088000000014</v>
      </c>
      <c r="AA105" s="52">
        <f t="shared" si="65"/>
        <v>0.95629902720000004</v>
      </c>
      <c r="AB105" s="52">
        <f t="shared" si="66"/>
        <v>0.2063081471999999</v>
      </c>
      <c r="AC105" s="52">
        <f t="shared" si="67"/>
        <v>0.2063081471999999</v>
      </c>
      <c r="AD105" s="52">
        <f t="shared" si="80"/>
        <v>27.508087458343475</v>
      </c>
      <c r="AE105" s="52">
        <f t="shared" si="81"/>
        <v>27.508087458343475</v>
      </c>
    </row>
    <row r="106">
      <c r="B106" s="46">
        <v>1107</v>
      </c>
      <c r="C106" s="46">
        <v>2201899.557</v>
      </c>
      <c r="D106" s="46">
        <v>6718345.7309999997</v>
      </c>
      <c r="E106" s="46">
        <v>105.789</v>
      </c>
      <c r="F106" s="46">
        <v>539</v>
      </c>
      <c r="G106" s="46">
        <v>128.75954450194251</v>
      </c>
      <c r="H106" s="46">
        <v>1.4399999999999999</v>
      </c>
      <c r="I106" s="46">
        <v>1.331753</v>
      </c>
      <c r="J106" s="46">
        <f t="shared" si="73"/>
        <v>-0.10824699999999998</v>
      </c>
      <c r="K106" s="46">
        <f t="shared" si="75"/>
        <v>0.10824699999999998</v>
      </c>
      <c r="L106" s="51">
        <f t="shared" si="51"/>
        <v>39.245909164192078</v>
      </c>
      <c r="M106" s="51">
        <f t="shared" si="52"/>
        <v>0.43891200000000002</v>
      </c>
      <c r="N106" s="51">
        <f t="shared" si="53"/>
        <v>0.40591831440000004</v>
      </c>
      <c r="O106" s="51">
        <f t="shared" si="54"/>
        <v>-0.032993685599999996</v>
      </c>
      <c r="P106" s="51">
        <f t="shared" si="55"/>
        <v>0.032993685599999996</v>
      </c>
      <c r="Q106" s="52">
        <f t="shared" si="76"/>
        <v>-7.5171527777777767</v>
      </c>
      <c r="R106" s="52">
        <f t="shared" si="77"/>
        <v>7.5171527777777767</v>
      </c>
      <c r="T106" s="46">
        <v>128.75954450194251</v>
      </c>
      <c r="U106" s="52">
        <v>2.7000000000000002</v>
      </c>
      <c r="V106" s="52">
        <v>2.8307340000000001</v>
      </c>
      <c r="W106" s="52">
        <f t="shared" si="78"/>
        <v>0.13073399999999991</v>
      </c>
      <c r="X106" s="52">
        <f t="shared" si="79"/>
        <v>0.13073399999999991</v>
      </c>
      <c r="Y106" s="52">
        <f t="shared" si="63"/>
        <v>39.245909164192078</v>
      </c>
      <c r="Z106" s="52">
        <f t="shared" si="64"/>
        <v>0.82296000000000014</v>
      </c>
      <c r="AA106" s="52">
        <f t="shared" si="65"/>
        <v>0.8628077232000001</v>
      </c>
      <c r="AB106" s="52">
        <f t="shared" si="66"/>
        <v>0.039847723199999976</v>
      </c>
      <c r="AC106" s="52">
        <f t="shared" si="67"/>
        <v>0.039847723199999976</v>
      </c>
      <c r="AD106" s="52">
        <f t="shared" si="80"/>
        <v>4.8419999999999961</v>
      </c>
      <c r="AE106" s="52">
        <f t="shared" si="81"/>
        <v>4.8419999999999961</v>
      </c>
    </row>
    <row r="107">
      <c r="B107" s="46">
        <v>1108</v>
      </c>
      <c r="C107" s="46">
        <v>2201908.702</v>
      </c>
      <c r="D107" s="46">
        <v>6718338.7209999999</v>
      </c>
      <c r="E107" s="46">
        <v>105.545</v>
      </c>
      <c r="F107" s="46">
        <v>539</v>
      </c>
      <c r="G107" s="46">
        <v>140.28217983407063</v>
      </c>
      <c r="H107" s="46">
        <v>1.3799999999999999</v>
      </c>
      <c r="I107" s="46">
        <v>1.3514109999999999</v>
      </c>
      <c r="J107" s="46">
        <f t="shared" si="73"/>
        <v>-0.028588999999999976</v>
      </c>
      <c r="K107" s="46">
        <f t="shared" si="75"/>
        <v>0.028588999999999976</v>
      </c>
      <c r="L107" s="51">
        <f t="shared" si="51"/>
        <v>42.758008413424733</v>
      </c>
      <c r="M107" s="51">
        <f t="shared" si="52"/>
        <v>0.420624</v>
      </c>
      <c r="N107" s="51">
        <f t="shared" si="53"/>
        <v>0.41191007279999997</v>
      </c>
      <c r="O107" s="51">
        <f t="shared" si="54"/>
        <v>-0.0087139271999999938</v>
      </c>
      <c r="P107" s="51">
        <f t="shared" si="55"/>
        <v>0.0087139271999999938</v>
      </c>
      <c r="Q107" s="52">
        <f t="shared" si="76"/>
        <v>-2.071666666666665</v>
      </c>
      <c r="R107" s="52">
        <f t="shared" si="77"/>
        <v>2.071666666666665</v>
      </c>
      <c r="T107" s="46">
        <v>140.28217983407063</v>
      </c>
      <c r="U107" s="52">
        <v>2.821488</v>
      </c>
      <c r="V107" s="52">
        <v>2.9435389999999999</v>
      </c>
      <c r="W107" s="52">
        <f t="shared" si="78"/>
        <v>0.12205099999999991</v>
      </c>
      <c r="X107" s="52">
        <f t="shared" si="79"/>
        <v>0.12205099999999991</v>
      </c>
      <c r="Y107" s="52">
        <f t="shared" si="63"/>
        <v>42.758008413424733</v>
      </c>
      <c r="Z107" s="52">
        <f t="shared" si="64"/>
        <v>0.85998954240000003</v>
      </c>
      <c r="AA107" s="52">
        <f t="shared" si="65"/>
        <v>0.89719068720000006</v>
      </c>
      <c r="AB107" s="52">
        <f t="shared" si="66"/>
        <v>0.037201144799999974</v>
      </c>
      <c r="AC107" s="52">
        <f t="shared" si="67"/>
        <v>0.037201144799999974</v>
      </c>
      <c r="AD107" s="52">
        <f t="shared" si="80"/>
        <v>4.3257671129559974</v>
      </c>
      <c r="AE107" s="52">
        <f t="shared" si="81"/>
        <v>4.3257671129559974</v>
      </c>
    </row>
    <row r="108">
      <c r="B108" s="46">
        <v>1109</v>
      </c>
      <c r="C108" s="46">
        <v>2201918.173</v>
      </c>
      <c r="D108" s="46">
        <v>6718330.7240000004</v>
      </c>
      <c r="E108" s="46">
        <v>106.05</v>
      </c>
      <c r="F108" s="46">
        <v>539</v>
      </c>
      <c r="G108" s="46">
        <v>152.67781817948475</v>
      </c>
      <c r="H108" s="46">
        <v>1.4399999999999999</v>
      </c>
      <c r="I108" s="46">
        <v>1.3792230000000001</v>
      </c>
      <c r="J108" s="46">
        <f t="shared" si="73"/>
        <v>-0.060776999999999859</v>
      </c>
      <c r="K108" s="46">
        <f t="shared" si="75"/>
        <v>0.060776999999999859</v>
      </c>
      <c r="L108" s="51">
        <f t="shared" si="51"/>
        <v>46.536198981106956</v>
      </c>
      <c r="M108" s="51">
        <f t="shared" si="52"/>
        <v>0.43891200000000002</v>
      </c>
      <c r="N108" s="51">
        <f t="shared" si="53"/>
        <v>0.42038717040000007</v>
      </c>
      <c r="O108" s="51">
        <f t="shared" si="54"/>
        <v>-0.018524829599999959</v>
      </c>
      <c r="P108" s="51">
        <f t="shared" si="55"/>
        <v>0.018524829599999959</v>
      </c>
      <c r="Q108" s="52">
        <f t="shared" si="76"/>
        <v>-4.2206249999999903</v>
      </c>
      <c r="R108" s="52">
        <f t="shared" si="77"/>
        <v>4.2206249999999903</v>
      </c>
      <c r="T108" s="46">
        <v>152.67781817948475</v>
      </c>
      <c r="U108" s="52">
        <v>2.3999999999999999</v>
      </c>
      <c r="V108" s="52">
        <v>3.1915429999999998</v>
      </c>
      <c r="W108" s="52">
        <f t="shared" si="78"/>
        <v>0.79154299999999989</v>
      </c>
      <c r="X108" s="52">
        <f t="shared" si="79"/>
        <v>0.79154299999999989</v>
      </c>
      <c r="Y108" s="52">
        <f t="shared" si="63"/>
        <v>46.536198981106956</v>
      </c>
      <c r="Z108" s="52">
        <f t="shared" si="64"/>
        <v>0.73152000000000006</v>
      </c>
      <c r="AA108" s="52">
        <f t="shared" si="65"/>
        <v>0.97278230639999996</v>
      </c>
      <c r="AB108" s="52">
        <f t="shared" si="66"/>
        <v>0.24126230639999999</v>
      </c>
      <c r="AC108" s="52">
        <f t="shared" si="67"/>
        <v>0.24126230639999999</v>
      </c>
      <c r="AD108" s="52">
        <f t="shared" si="80"/>
        <v>32.980958333333334</v>
      </c>
      <c r="AE108" s="52">
        <f t="shared" si="81"/>
        <v>32.980958333333334</v>
      </c>
    </row>
    <row r="109">
      <c r="B109" s="46">
        <v>1110</v>
      </c>
      <c r="C109" s="46">
        <v>2201928.0129999998</v>
      </c>
      <c r="D109" s="46">
        <v>6718323.324</v>
      </c>
      <c r="E109" s="46">
        <v>106.217</v>
      </c>
      <c r="F109" s="46">
        <v>539</v>
      </c>
      <c r="G109" s="46">
        <v>164.98982857594643</v>
      </c>
      <c r="H109" s="46">
        <v>1.28</v>
      </c>
      <c r="I109" s="46">
        <v>1.362142</v>
      </c>
      <c r="J109" s="46">
        <f t="shared" si="73"/>
        <v>0.082141999999999937</v>
      </c>
      <c r="K109" s="46">
        <f t="shared" si="75"/>
        <v>0.082141999999999937</v>
      </c>
      <c r="L109" s="51">
        <f t="shared" si="51"/>
        <v>50.288899749948477</v>
      </c>
      <c r="M109" s="51">
        <f t="shared" si="52"/>
        <v>0.39014400000000005</v>
      </c>
      <c r="N109" s="51">
        <f t="shared" si="53"/>
        <v>0.4151808816</v>
      </c>
      <c r="O109" s="51">
        <f t="shared" si="54"/>
        <v>0.025036881599999981</v>
      </c>
      <c r="P109" s="51">
        <f t="shared" si="55"/>
        <v>0.025036881599999981</v>
      </c>
      <c r="Q109" s="52">
        <f t="shared" si="76"/>
        <v>6.4173437499999952</v>
      </c>
      <c r="R109" s="52">
        <f t="shared" si="77"/>
        <v>6.4173437499999952</v>
      </c>
      <c r="T109" s="46">
        <v>164.98982857594643</v>
      </c>
      <c r="U109" s="52">
        <v>2.1653280000000001</v>
      </c>
      <c r="V109" s="52">
        <v>3.3493889999999999</v>
      </c>
      <c r="W109" s="52">
        <f t="shared" si="78"/>
        <v>1.1840609999999998</v>
      </c>
      <c r="X109" s="52">
        <f t="shared" si="79"/>
        <v>1.1840609999999998</v>
      </c>
      <c r="Y109" s="52">
        <f t="shared" si="63"/>
        <v>50.288899749948477</v>
      </c>
      <c r="Z109" s="52">
        <f t="shared" si="64"/>
        <v>0.65999197440000013</v>
      </c>
      <c r="AA109" s="52">
        <f t="shared" si="65"/>
        <v>1.0208937672</v>
      </c>
      <c r="AB109" s="52">
        <f t="shared" si="66"/>
        <v>0.36090179279999995</v>
      </c>
      <c r="AC109" s="52">
        <f t="shared" si="67"/>
        <v>0.36090179279999995</v>
      </c>
      <c r="AD109" s="52">
        <f t="shared" si="80"/>
        <v>54.682754760479696</v>
      </c>
      <c r="AE109" s="52">
        <f t="shared" si="81"/>
        <v>54.682754760479696</v>
      </c>
    </row>
    <row r="110">
      <c r="B110" s="46">
        <v>1111</v>
      </c>
      <c r="C110" s="46">
        <v>2201937.1209999998</v>
      </c>
      <c r="D110" s="46">
        <v>6718315.9170000004</v>
      </c>
      <c r="E110" s="46">
        <v>106.80500000000001</v>
      </c>
      <c r="F110" s="46">
        <v>539</v>
      </c>
      <c r="G110" s="46">
        <v>176.72947563175941</v>
      </c>
      <c r="H110" s="46">
        <v>1.1100000000000001</v>
      </c>
      <c r="I110" s="46">
        <v>1.285577</v>
      </c>
      <c r="J110" s="46">
        <f t="shared" si="73"/>
        <v>0.17557699999999987</v>
      </c>
      <c r="K110" s="46">
        <f t="shared" si="75"/>
        <v>0.17557699999999987</v>
      </c>
      <c r="L110" s="51">
        <f t="shared" si="51"/>
        <v>53.867144172560273</v>
      </c>
      <c r="M110" s="51">
        <f t="shared" si="52"/>
        <v>0.33832800000000007</v>
      </c>
      <c r="N110" s="51">
        <f t="shared" si="53"/>
        <v>0.39184386960000001</v>
      </c>
      <c r="O110" s="51">
        <f t="shared" si="54"/>
        <v>0.053515869599999967</v>
      </c>
      <c r="P110" s="51">
        <f t="shared" si="55"/>
        <v>0.053515869599999967</v>
      </c>
      <c r="Q110" s="52">
        <f t="shared" si="76"/>
        <v>15.817747747747735</v>
      </c>
      <c r="R110" s="52">
        <f t="shared" si="77"/>
        <v>15.817747747747735</v>
      </c>
      <c r="T110" s="46">
        <v>176.72947563175941</v>
      </c>
      <c r="U110" s="52">
        <v>1.6000000000000001</v>
      </c>
      <c r="V110" s="52">
        <v>2.8793739999999999</v>
      </c>
      <c r="W110" s="52">
        <f t="shared" si="78"/>
        <v>1.2793739999999998</v>
      </c>
      <c r="X110" s="52">
        <f t="shared" si="79"/>
        <v>1.2793739999999998</v>
      </c>
      <c r="Y110" s="52">
        <f t="shared" si="63"/>
        <v>53.867144172560273</v>
      </c>
      <c r="Z110" s="52">
        <f t="shared" si="64"/>
        <v>0.48768000000000006</v>
      </c>
      <c r="AA110" s="52">
        <f t="shared" si="65"/>
        <v>0.87763319520000005</v>
      </c>
      <c r="AB110" s="52">
        <f t="shared" si="66"/>
        <v>0.38995319519999994</v>
      </c>
      <c r="AC110" s="52">
        <f t="shared" si="67"/>
        <v>0.38995319519999994</v>
      </c>
      <c r="AD110" s="52">
        <f t="shared" si="80"/>
        <v>79.960874999999987</v>
      </c>
      <c r="AE110" s="52">
        <f t="shared" si="81"/>
        <v>79.960874999999987</v>
      </c>
    </row>
    <row r="111">
      <c r="B111" s="46">
        <v>1112</v>
      </c>
      <c r="C111" s="46">
        <v>2201947.9249999998</v>
      </c>
      <c r="D111" s="46">
        <v>6718307.5319999997</v>
      </c>
      <c r="E111" s="46">
        <v>107.46299999999999</v>
      </c>
      <c r="F111" s="46">
        <v>539</v>
      </c>
      <c r="G111" s="46">
        <v>190.40553650512314</v>
      </c>
      <c r="H111" s="46">
        <v>0.84999999999999998</v>
      </c>
      <c r="I111" s="46">
        <v>0.84551399999999999</v>
      </c>
      <c r="J111" s="46">
        <f t="shared" si="73"/>
        <v>-0.00448599999999999</v>
      </c>
      <c r="K111" s="46">
        <f t="shared" si="75"/>
        <v>0.00448599999999999</v>
      </c>
      <c r="L111" s="51">
        <f t="shared" si="51"/>
        <v>58.035607526761538</v>
      </c>
      <c r="M111" s="51">
        <f t="shared" si="52"/>
        <v>0.25908000000000003</v>
      </c>
      <c r="N111" s="51">
        <f t="shared" si="53"/>
        <v>0.25771266720000002</v>
      </c>
      <c r="O111" s="51">
        <f t="shared" si="54"/>
        <v>-0.001367332799999997</v>
      </c>
      <c r="P111" s="51">
        <f t="shared" si="55"/>
        <v>0.001367332799999997</v>
      </c>
      <c r="Q111" s="52">
        <f t="shared" si="76"/>
        <v>-0.5277647058823518</v>
      </c>
      <c r="R111" s="52">
        <f t="shared" si="77"/>
        <v>0.5277647058823518</v>
      </c>
      <c r="T111" s="46">
        <v>190.40553650512314</v>
      </c>
      <c r="U111" s="52">
        <v>0.95143199999999994</v>
      </c>
      <c r="V111" s="52">
        <v>1.073207</v>
      </c>
      <c r="W111" s="52">
        <f t="shared" si="78"/>
        <v>0.12177500000000008</v>
      </c>
      <c r="X111" s="52">
        <f t="shared" si="79"/>
        <v>0.12177500000000008</v>
      </c>
      <c r="Y111" s="52">
        <f t="shared" si="63"/>
        <v>58.035607526761538</v>
      </c>
      <c r="Z111" s="52">
        <f t="shared" si="64"/>
        <v>0.28999647359999997</v>
      </c>
      <c r="AA111" s="52">
        <f t="shared" si="65"/>
        <v>0.32711349360000003</v>
      </c>
      <c r="AB111" s="52">
        <f t="shared" si="66"/>
        <v>0.037117020000000028</v>
      </c>
      <c r="AC111" s="52">
        <f t="shared" si="67"/>
        <v>0.037117020000000028</v>
      </c>
      <c r="AD111" s="52">
        <f t="shared" si="80"/>
        <v>12.799128051190214</v>
      </c>
      <c r="AE111" s="52">
        <f t="shared" si="81"/>
        <v>12.799128051190214</v>
      </c>
    </row>
    <row r="112" s="72" customFormat="1" ht="14.25" customHeight="1">
      <c r="A112" s="75" t="s">
        <v>91</v>
      </c>
      <c r="B112" s="72">
        <v>1113</v>
      </c>
      <c r="C112" s="72">
        <v>2201620.6140000001</v>
      </c>
      <c r="D112" s="72">
        <v>6717971.4479999999</v>
      </c>
      <c r="E112" s="72">
        <v>106.84699999999999</v>
      </c>
      <c r="F112" s="72">
        <v>539</v>
      </c>
      <c r="G112" s="72">
        <v>8.2131458645493094</v>
      </c>
      <c r="H112" s="72">
        <v>0.89000000000000001</v>
      </c>
      <c r="I112" s="72">
        <v>2.0901049999999999</v>
      </c>
      <c r="J112" s="72">
        <f t="shared" si="73"/>
        <v>1.2001049999999998</v>
      </c>
      <c r="K112" s="72">
        <f t="shared" ref="K112:K121" si="82">ABS(J112)</f>
        <v>1.2001049999999998</v>
      </c>
      <c r="L112" s="73">
        <f t="shared" si="51"/>
        <v>2.5033668595146294</v>
      </c>
      <c r="M112" s="73">
        <f t="shared" si="52"/>
        <v>0.27127200000000001</v>
      </c>
      <c r="N112" s="73">
        <f t="shared" si="53"/>
        <v>0.63706400399999996</v>
      </c>
      <c r="O112" s="73">
        <f t="shared" si="54"/>
        <v>0.36579200399999995</v>
      </c>
      <c r="P112" s="73">
        <f t="shared" si="55"/>
        <v>0.36579200399999995</v>
      </c>
      <c r="Q112" s="74">
        <f t="shared" ref="Q112:Q121" si="83">100*J112/H112</f>
        <v>134.84325842696626</v>
      </c>
      <c r="R112" s="74">
        <f t="shared" ref="R112:R121" si="84">ABS(Q112)</f>
        <v>134.84325842696626</v>
      </c>
      <c r="T112" s="72">
        <v>8.2131458645493094</v>
      </c>
      <c r="U112" s="74">
        <v>0.36088800000000004</v>
      </c>
      <c r="V112" s="74">
        <v>0.80178400000000005</v>
      </c>
      <c r="W112" s="74">
        <f t="shared" ref="W112:W121" si="85">V112-U112</f>
        <v>0.44089600000000001</v>
      </c>
      <c r="X112" s="74">
        <f t="shared" ref="X112:X121" si="86">ABS(W112)</f>
        <v>0.44089600000000001</v>
      </c>
      <c r="Y112" s="74">
        <f t="shared" si="63"/>
        <v>2.5033668595146294</v>
      </c>
      <c r="Z112" s="74">
        <f t="shared" si="64"/>
        <v>0.10999866240000002</v>
      </c>
      <c r="AA112" s="74">
        <f t="shared" si="65"/>
        <v>0.24438376320000002</v>
      </c>
      <c r="AB112" s="74">
        <f t="shared" si="66"/>
        <v>0.13438510080000002</v>
      </c>
      <c r="AC112" s="74">
        <f t="shared" si="67"/>
        <v>0.13438510080000002</v>
      </c>
      <c r="AD112" s="74">
        <f t="shared" ref="AD112:AD121" si="87">100*W112/U112</f>
        <v>122.16975903881537</v>
      </c>
      <c r="AE112" s="74">
        <f t="shared" ref="AE112:AE121" si="88">ABS(AD112)</f>
        <v>122.16975903881537</v>
      </c>
    </row>
    <row r="113">
      <c r="B113" s="46">
        <v>1114</v>
      </c>
      <c r="C113" s="46">
        <v>2201614.2919999999</v>
      </c>
      <c r="D113" s="46">
        <v>6717980.2240000004</v>
      </c>
      <c r="E113" s="46">
        <v>106.283</v>
      </c>
      <c r="F113" s="46">
        <v>539</v>
      </c>
      <c r="G113" s="46">
        <v>19.029146049989443</v>
      </c>
      <c r="H113" s="46">
        <v>1.6599999999999999</v>
      </c>
      <c r="I113" s="46">
        <v>2.3459379999999999</v>
      </c>
      <c r="J113" s="46">
        <f t="shared" si="73"/>
        <v>0.68593799999999994</v>
      </c>
      <c r="K113" s="46">
        <f t="shared" si="82"/>
        <v>0.68593799999999994</v>
      </c>
      <c r="L113" s="51">
        <f t="shared" si="51"/>
        <v>5.8000837160367826</v>
      </c>
      <c r="M113" s="51">
        <f t="shared" si="52"/>
        <v>0.50596799999999997</v>
      </c>
      <c r="N113" s="51">
        <f t="shared" si="53"/>
        <v>0.71504190239999998</v>
      </c>
      <c r="O113" s="51">
        <f t="shared" si="54"/>
        <v>0.20907390239999998</v>
      </c>
      <c r="P113" s="51">
        <f t="shared" si="55"/>
        <v>0.20907390239999998</v>
      </c>
      <c r="Q113" s="52">
        <f t="shared" si="83"/>
        <v>41.321566265060234</v>
      </c>
      <c r="R113" s="52">
        <f t="shared" si="84"/>
        <v>41.321566265060234</v>
      </c>
      <c r="T113" s="46">
        <v>19.029146049989443</v>
      </c>
      <c r="U113" s="52">
        <v>0.80000000000000004</v>
      </c>
      <c r="V113" s="52">
        <v>0.79257699999999998</v>
      </c>
      <c r="W113" s="52">
        <f t="shared" si="85"/>
        <v>-0.0074230000000000684</v>
      </c>
      <c r="X113" s="52">
        <f t="shared" si="86"/>
        <v>0.0074230000000000684</v>
      </c>
      <c r="Y113" s="52">
        <f t="shared" si="63"/>
        <v>5.8000837160367826</v>
      </c>
      <c r="Z113" s="52">
        <f t="shared" si="64"/>
        <v>0.24384000000000003</v>
      </c>
      <c r="AA113" s="52">
        <f t="shared" si="65"/>
        <v>0.24157746960000001</v>
      </c>
      <c r="AB113" s="52">
        <f t="shared" si="66"/>
        <v>-0.002262530400000021</v>
      </c>
      <c r="AC113" s="52">
        <f t="shared" si="67"/>
        <v>0.002262530400000021</v>
      </c>
      <c r="AD113" s="52">
        <f t="shared" si="87"/>
        <v>-0.92787500000000855</v>
      </c>
      <c r="AE113" s="52">
        <f t="shared" si="88"/>
        <v>0.92787500000000855</v>
      </c>
    </row>
    <row r="114">
      <c r="B114" s="46">
        <v>1115</v>
      </c>
      <c r="C114" s="46">
        <v>2201608.0589999999</v>
      </c>
      <c r="D114" s="46">
        <v>6717990.0070000002</v>
      </c>
      <c r="E114" s="46">
        <v>106.066</v>
      </c>
      <c r="F114" s="46">
        <v>539</v>
      </c>
      <c r="G114" s="46">
        <v>30.6290330320507</v>
      </c>
      <c r="H114" s="46">
        <v>2.46</v>
      </c>
      <c r="I114" s="46">
        <v>2.6046710000000002</v>
      </c>
      <c r="J114" s="46">
        <f t="shared" si="73"/>
        <v>0.14467100000000022</v>
      </c>
      <c r="K114" s="46">
        <f t="shared" si="82"/>
        <v>0.14467100000000022</v>
      </c>
      <c r="L114" s="51">
        <f t="shared" si="51"/>
        <v>9.3357292681690538</v>
      </c>
      <c r="M114" s="51">
        <f t="shared" si="52"/>
        <v>0.74980800000000003</v>
      </c>
      <c r="N114" s="51">
        <f t="shared" si="53"/>
        <v>0.79390372080000005</v>
      </c>
      <c r="O114" s="51">
        <f t="shared" si="54"/>
        <v>0.044095720800000071</v>
      </c>
      <c r="P114" s="51">
        <f t="shared" si="55"/>
        <v>0.044095720800000071</v>
      </c>
      <c r="Q114" s="52">
        <f t="shared" si="83"/>
        <v>5.8809349593496023</v>
      </c>
      <c r="R114" s="52">
        <f t="shared" si="84"/>
        <v>5.8809349593496023</v>
      </c>
      <c r="T114" s="46">
        <v>30.6290330320507</v>
      </c>
      <c r="U114" s="52">
        <v>1.410744</v>
      </c>
      <c r="V114" s="52">
        <v>0.96338800000000002</v>
      </c>
      <c r="W114" s="52">
        <f t="shared" si="85"/>
        <v>-0.44735599999999998</v>
      </c>
      <c r="X114" s="52">
        <f t="shared" si="86"/>
        <v>0.44735599999999998</v>
      </c>
      <c r="Y114" s="52">
        <f t="shared" si="63"/>
        <v>9.3357292681690538</v>
      </c>
      <c r="Z114" s="52">
        <f t="shared" si="64"/>
        <v>0.42999477120000001</v>
      </c>
      <c r="AA114" s="52">
        <f t="shared" si="65"/>
        <v>0.29364066240000003</v>
      </c>
      <c r="AB114" s="52">
        <f t="shared" si="66"/>
        <v>-0.13635410880000001</v>
      </c>
      <c r="AC114" s="52">
        <f t="shared" si="67"/>
        <v>0.13635410880000001</v>
      </c>
      <c r="AD114" s="52">
        <f t="shared" si="87"/>
        <v>-31.71064346188961</v>
      </c>
      <c r="AE114" s="52">
        <f t="shared" si="88"/>
        <v>31.71064346188961</v>
      </c>
    </row>
    <row r="115">
      <c r="B115" s="46">
        <v>1116</v>
      </c>
      <c r="C115" s="46">
        <v>2201599.9589999998</v>
      </c>
      <c r="D115" s="46">
        <v>6717998.182</v>
      </c>
      <c r="E115" s="46">
        <v>105.842</v>
      </c>
      <c r="F115" s="46">
        <v>539</v>
      </c>
      <c r="G115" s="46">
        <v>42.137318091018578</v>
      </c>
      <c r="H115" s="46">
        <v>2.6299999999999999</v>
      </c>
      <c r="I115" s="46">
        <v>3.3948420000000001</v>
      </c>
      <c r="J115" s="46">
        <f t="shared" si="73"/>
        <v>0.76484200000000024</v>
      </c>
      <c r="K115" s="46">
        <f t="shared" si="82"/>
        <v>0.76484200000000024</v>
      </c>
      <c r="L115" s="51">
        <f t="shared" si="51"/>
        <v>12.843454554142463</v>
      </c>
      <c r="M115" s="51">
        <f t="shared" si="52"/>
        <v>0.801624</v>
      </c>
      <c r="N115" s="51">
        <f t="shared" si="53"/>
        <v>1.0347478416</v>
      </c>
      <c r="O115" s="51">
        <f t="shared" si="54"/>
        <v>0.23312384160000008</v>
      </c>
      <c r="P115" s="51">
        <f t="shared" si="55"/>
        <v>0.23312384160000008</v>
      </c>
      <c r="Q115" s="52">
        <f t="shared" si="83"/>
        <v>29.081444866920165</v>
      </c>
      <c r="R115" s="52">
        <f t="shared" si="84"/>
        <v>29.081444866920165</v>
      </c>
      <c r="T115" s="46">
        <v>42.137318091018578</v>
      </c>
      <c r="U115" s="52">
        <v>2.1000000000000001</v>
      </c>
      <c r="V115" s="52">
        <v>1.832973</v>
      </c>
      <c r="W115" s="52">
        <f t="shared" si="85"/>
        <v>-0.26702700000000013</v>
      </c>
      <c r="X115" s="52">
        <f t="shared" si="86"/>
        <v>0.26702700000000013</v>
      </c>
      <c r="Y115" s="52">
        <f t="shared" si="63"/>
        <v>12.843454554142463</v>
      </c>
      <c r="Z115" s="52">
        <f t="shared" si="64"/>
        <v>0.64008000000000009</v>
      </c>
      <c r="AA115" s="52">
        <f t="shared" si="65"/>
        <v>0.55869017040000002</v>
      </c>
      <c r="AB115" s="52">
        <f t="shared" si="66"/>
        <v>-0.081389829600000047</v>
      </c>
      <c r="AC115" s="52">
        <f t="shared" si="67"/>
        <v>0.081389829600000047</v>
      </c>
      <c r="AD115" s="52">
        <f t="shared" si="87"/>
        <v>-12.715571428571435</v>
      </c>
      <c r="AE115" s="52">
        <f t="shared" si="88"/>
        <v>12.715571428571435</v>
      </c>
    </row>
    <row r="116">
      <c r="B116" s="46">
        <v>1117</v>
      </c>
      <c r="C116" s="46">
        <v>2201594.3769999999</v>
      </c>
      <c r="D116" s="46">
        <v>6718004.6979999999</v>
      </c>
      <c r="E116" s="46">
        <v>105.73099999999999</v>
      </c>
      <c r="F116" s="46">
        <v>539</v>
      </c>
      <c r="G116" s="46">
        <v>50.717351890314461</v>
      </c>
      <c r="H116" s="46">
        <v>4.5599999999999996</v>
      </c>
      <c r="I116" s="46">
        <v>3.7124030000000001</v>
      </c>
      <c r="J116" s="46">
        <f t="shared" si="73"/>
        <v>-0.84759699999999949</v>
      </c>
      <c r="K116" s="46">
        <f t="shared" si="82"/>
        <v>0.84759699999999949</v>
      </c>
      <c r="L116" s="51">
        <f t="shared" si="51"/>
        <v>15.458648856167848</v>
      </c>
      <c r="M116" s="51">
        <f t="shared" si="52"/>
        <v>1.389888</v>
      </c>
      <c r="N116" s="51">
        <f t="shared" si="53"/>
        <v>1.1315404344000002</v>
      </c>
      <c r="O116" s="51">
        <f t="shared" si="54"/>
        <v>-0.25834756559999988</v>
      </c>
      <c r="P116" s="51">
        <f t="shared" si="55"/>
        <v>0.25834756559999988</v>
      </c>
      <c r="Q116" s="52">
        <f t="shared" si="83"/>
        <v>-18.587653508771922</v>
      </c>
      <c r="R116" s="52">
        <f t="shared" si="84"/>
        <v>18.587653508771922</v>
      </c>
      <c r="T116" s="46">
        <v>50.717351890314461</v>
      </c>
      <c r="U116" s="52">
        <v>1.5091680000000001</v>
      </c>
      <c r="V116" s="52">
        <v>1.848535</v>
      </c>
      <c r="W116" s="52">
        <f t="shared" si="85"/>
        <v>0.33936699999999997</v>
      </c>
      <c r="X116" s="52">
        <f t="shared" si="86"/>
        <v>0.33936699999999997</v>
      </c>
      <c r="Y116" s="52">
        <f t="shared" si="63"/>
        <v>15.458648856167848</v>
      </c>
      <c r="Z116" s="52">
        <f t="shared" si="64"/>
        <v>0.45999440640000006</v>
      </c>
      <c r="AA116" s="52">
        <f t="shared" si="65"/>
        <v>0.56343346800000005</v>
      </c>
      <c r="AB116" s="52">
        <f t="shared" si="66"/>
        <v>0.10343906159999999</v>
      </c>
      <c r="AC116" s="52">
        <f t="shared" si="67"/>
        <v>0.10343906159999999</v>
      </c>
      <c r="AD116" s="52">
        <f t="shared" si="87"/>
        <v>22.487025963974848</v>
      </c>
      <c r="AE116" s="52">
        <f t="shared" si="88"/>
        <v>22.487025963974848</v>
      </c>
    </row>
    <row r="117">
      <c r="B117" s="46">
        <v>1118</v>
      </c>
      <c r="C117" s="46">
        <v>2201587.2710000002</v>
      </c>
      <c r="D117" s="46">
        <v>6718011.3789999997</v>
      </c>
      <c r="E117" s="46">
        <v>105.752</v>
      </c>
      <c r="F117" s="46">
        <v>539</v>
      </c>
      <c r="G117" s="46">
        <v>60.47086392412335</v>
      </c>
      <c r="H117" s="46">
        <v>4.6600000000000001</v>
      </c>
      <c r="I117" s="46">
        <v>3.9298769999999998</v>
      </c>
      <c r="J117" s="46">
        <f t="shared" si="73"/>
        <v>-0.7301230000000003</v>
      </c>
      <c r="K117" s="46">
        <f t="shared" si="82"/>
        <v>0.7301230000000003</v>
      </c>
      <c r="L117" s="51">
        <f t="shared" si="51"/>
        <v>18.431519324072799</v>
      </c>
      <c r="M117" s="51">
        <f t="shared" si="52"/>
        <v>1.4203680000000001</v>
      </c>
      <c r="N117" s="51">
        <f t="shared" si="53"/>
        <v>1.1978265096</v>
      </c>
      <c r="O117" s="51">
        <f t="shared" si="54"/>
        <v>-0.2225414904000001</v>
      </c>
      <c r="P117" s="51">
        <f t="shared" si="55"/>
        <v>0.2225414904000001</v>
      </c>
      <c r="Q117" s="52">
        <f t="shared" si="83"/>
        <v>-15.667875536480691</v>
      </c>
      <c r="R117" s="52">
        <f t="shared" si="84"/>
        <v>15.667875536480691</v>
      </c>
      <c r="T117" s="46">
        <v>60.47086392412335</v>
      </c>
      <c r="U117" s="52">
        <v>1.7716320000000001</v>
      </c>
      <c r="V117" s="52">
        <v>1.8893120000000001</v>
      </c>
      <c r="W117" s="52">
        <f t="shared" si="85"/>
        <v>0.11768000000000001</v>
      </c>
      <c r="X117" s="52">
        <f t="shared" si="86"/>
        <v>0.11768000000000001</v>
      </c>
      <c r="Y117" s="52">
        <f t="shared" si="63"/>
        <v>18.431519324072799</v>
      </c>
      <c r="Z117" s="52">
        <f t="shared" si="64"/>
        <v>0.53999343360000007</v>
      </c>
      <c r="AA117" s="52">
        <f t="shared" si="65"/>
        <v>0.57586229760000007</v>
      </c>
      <c r="AB117" s="52">
        <f t="shared" si="66"/>
        <v>0.035868864000000007</v>
      </c>
      <c r="AC117" s="52">
        <f t="shared" si="67"/>
        <v>0.035868864000000007</v>
      </c>
      <c r="AD117" s="52">
        <f t="shared" si="87"/>
        <v>6.6424629945722362</v>
      </c>
      <c r="AE117" s="52">
        <f t="shared" si="88"/>
        <v>6.6424629945722362</v>
      </c>
    </row>
    <row r="118">
      <c r="B118" s="46">
        <v>1119</v>
      </c>
      <c r="C118" s="46">
        <v>2201581.3429999999</v>
      </c>
      <c r="D118" s="46">
        <v>6718018.7149999999</v>
      </c>
      <c r="E118" s="46">
        <v>105.65600000000001</v>
      </c>
      <c r="F118" s="46">
        <v>539</v>
      </c>
      <c r="G118" s="46">
        <v>69.902623039234385</v>
      </c>
      <c r="H118" s="46">
        <v>5.29</v>
      </c>
      <c r="I118" s="46">
        <v>4.1171360000000004</v>
      </c>
      <c r="J118" s="46">
        <f t="shared" si="73"/>
        <v>-1.1728639999999997</v>
      </c>
      <c r="K118" s="46">
        <f t="shared" si="82"/>
        <v>1.1728639999999997</v>
      </c>
      <c r="L118" s="51">
        <f t="shared" si="51"/>
        <v>21.30631950235864</v>
      </c>
      <c r="M118" s="51">
        <f t="shared" si="52"/>
        <v>1.612392</v>
      </c>
      <c r="N118" s="51">
        <f t="shared" si="53"/>
        <v>1.2549030528000003</v>
      </c>
      <c r="O118" s="51">
        <f t="shared" si="54"/>
        <v>-0.35748894719999991</v>
      </c>
      <c r="P118" s="51">
        <f t="shared" si="55"/>
        <v>0.35748894719999991</v>
      </c>
      <c r="Q118" s="52">
        <f t="shared" si="83"/>
        <v>-22.171342155009448</v>
      </c>
      <c r="R118" s="52">
        <f t="shared" si="84"/>
        <v>22.171342155009448</v>
      </c>
      <c r="T118" s="46">
        <v>69.902623039234385</v>
      </c>
      <c r="U118" s="52">
        <v>2.7999999999999998</v>
      </c>
      <c r="V118" s="52">
        <v>2.0228890000000002</v>
      </c>
      <c r="W118" s="52">
        <f t="shared" si="85"/>
        <v>-0.77711099999999966</v>
      </c>
      <c r="X118" s="52">
        <f t="shared" si="86"/>
        <v>0.77711099999999966</v>
      </c>
      <c r="Y118" s="52">
        <f t="shared" si="63"/>
        <v>21.30631950235864</v>
      </c>
      <c r="Z118" s="52">
        <f t="shared" si="64"/>
        <v>0.85343999999999998</v>
      </c>
      <c r="AA118" s="52">
        <f t="shared" si="65"/>
        <v>0.61657656720000009</v>
      </c>
      <c r="AB118" s="52">
        <f t="shared" si="66"/>
        <v>-0.23686343279999991</v>
      </c>
      <c r="AC118" s="52">
        <f t="shared" si="67"/>
        <v>0.23686343279999991</v>
      </c>
      <c r="AD118" s="52">
        <f t="shared" si="87"/>
        <v>-27.753964285714272</v>
      </c>
      <c r="AE118" s="52">
        <f t="shared" si="88"/>
        <v>27.753964285714272</v>
      </c>
    </row>
    <row r="119">
      <c r="B119" s="46">
        <v>1120</v>
      </c>
      <c r="C119" s="46">
        <v>2201571.9399999999</v>
      </c>
      <c r="D119" s="46">
        <v>6718026.2350000003</v>
      </c>
      <c r="E119" s="46">
        <v>105.815</v>
      </c>
      <c r="F119" s="46">
        <v>539</v>
      </c>
      <c r="G119" s="46">
        <v>81.942839358139238</v>
      </c>
      <c r="H119" s="46">
        <v>4.46</v>
      </c>
      <c r="I119" s="46">
        <v>4.2240929999999999</v>
      </c>
      <c r="J119" s="46">
        <f t="shared" si="73"/>
        <v>-0.23590700000000009</v>
      </c>
      <c r="K119" s="46">
        <f t="shared" si="82"/>
        <v>0.23590700000000009</v>
      </c>
      <c r="L119" s="51">
        <f t="shared" si="51"/>
        <v>24.976177436360842</v>
      </c>
      <c r="M119" s="51">
        <f t="shared" si="52"/>
        <v>1.3594079999999999</v>
      </c>
      <c r="N119" s="51">
        <f t="shared" si="53"/>
        <v>1.2875035464</v>
      </c>
      <c r="O119" s="51">
        <f t="shared" si="54"/>
        <v>-0.071904453600000029</v>
      </c>
      <c r="P119" s="51">
        <f t="shared" si="55"/>
        <v>0.071904453600000029</v>
      </c>
      <c r="Q119" s="52">
        <f t="shared" si="83"/>
        <v>-5.2893946188340824</v>
      </c>
      <c r="R119" s="52">
        <f t="shared" si="84"/>
        <v>5.2893946188340824</v>
      </c>
      <c r="T119" s="46">
        <v>81.942839358139238</v>
      </c>
      <c r="U119" s="52">
        <v>1.541976</v>
      </c>
      <c r="V119" s="52">
        <v>2.0750259999999998</v>
      </c>
      <c r="W119" s="52">
        <f t="shared" si="85"/>
        <v>0.5330499999999998</v>
      </c>
      <c r="X119" s="52">
        <f t="shared" si="86"/>
        <v>0.5330499999999998</v>
      </c>
      <c r="Y119" s="52">
        <f t="shared" si="63"/>
        <v>24.976177436360842</v>
      </c>
      <c r="Z119" s="52">
        <f t="shared" si="64"/>
        <v>0.46999428480000005</v>
      </c>
      <c r="AA119" s="52">
        <f t="shared" si="65"/>
        <v>0.63246792480000003</v>
      </c>
      <c r="AB119" s="52">
        <f t="shared" si="66"/>
        <v>0.16247363999999995</v>
      </c>
      <c r="AC119" s="52">
        <f t="shared" si="67"/>
        <v>0.16247363999999995</v>
      </c>
      <c r="AD119" s="52">
        <f t="shared" si="87"/>
        <v>34.569279936912103</v>
      </c>
      <c r="AE119" s="52">
        <f t="shared" si="88"/>
        <v>34.569279936912103</v>
      </c>
    </row>
    <row r="120">
      <c r="B120" s="46">
        <v>1121</v>
      </c>
      <c r="C120" s="46">
        <v>2201563.9989999998</v>
      </c>
      <c r="D120" s="46">
        <v>6718033.9900000002</v>
      </c>
      <c r="E120" s="46">
        <v>106.003</v>
      </c>
      <c r="F120" s="46">
        <v>539</v>
      </c>
      <c r="G120" s="46">
        <v>93.042366645370095</v>
      </c>
      <c r="H120" s="46">
        <v>3.7200000000000002</v>
      </c>
      <c r="I120" s="46">
        <v>3.5559059999999998</v>
      </c>
      <c r="J120" s="46">
        <f t="shared" si="73"/>
        <v>-0.16409400000000041</v>
      </c>
      <c r="K120" s="46">
        <f t="shared" si="82"/>
        <v>0.16409400000000041</v>
      </c>
      <c r="L120" s="51">
        <f t="shared" si="51"/>
        <v>28.359313353508806</v>
      </c>
      <c r="M120" s="51">
        <f t="shared" si="52"/>
        <v>1.1338560000000002</v>
      </c>
      <c r="N120" s="51">
        <f t="shared" si="53"/>
        <v>1.0838401488</v>
      </c>
      <c r="O120" s="51">
        <f t="shared" si="54"/>
        <v>-0.050015851200000128</v>
      </c>
      <c r="P120" s="51">
        <f t="shared" si="55"/>
        <v>0.050015851200000128</v>
      </c>
      <c r="Q120" s="52">
        <f t="shared" si="83"/>
        <v>-4.4111290322580752</v>
      </c>
      <c r="R120" s="52">
        <f t="shared" si="84"/>
        <v>4.4111290322580752</v>
      </c>
      <c r="T120" s="46">
        <v>93.042366645370095</v>
      </c>
      <c r="U120" s="52">
        <v>1.5</v>
      </c>
      <c r="V120" s="52">
        <v>1.5947450000000001</v>
      </c>
      <c r="W120" s="52">
        <f t="shared" si="85"/>
        <v>0.094745000000000079</v>
      </c>
      <c r="X120" s="52">
        <f t="shared" si="86"/>
        <v>0.094745000000000079</v>
      </c>
      <c r="Y120" s="52">
        <f t="shared" si="63"/>
        <v>28.359313353508806</v>
      </c>
      <c r="Z120" s="52">
        <f t="shared" si="64"/>
        <v>0.45720000000000005</v>
      </c>
      <c r="AA120" s="52">
        <f t="shared" si="65"/>
        <v>0.48607827600000003</v>
      </c>
      <c r="AB120" s="52">
        <f t="shared" si="66"/>
        <v>0.028878276000000026</v>
      </c>
      <c r="AC120" s="52">
        <f t="shared" si="67"/>
        <v>0.028878276000000026</v>
      </c>
      <c r="AD120" s="52">
        <f t="shared" si="87"/>
        <v>6.3163333333333389</v>
      </c>
      <c r="AE120" s="52">
        <f t="shared" si="88"/>
        <v>6.3163333333333389</v>
      </c>
    </row>
    <row r="121">
      <c r="B121" s="46">
        <v>1122</v>
      </c>
      <c r="C121" s="46">
        <v>2201556.1099999999</v>
      </c>
      <c r="D121" s="46">
        <v>6718041.7079999996</v>
      </c>
      <c r="E121" s="46">
        <v>106.191</v>
      </c>
      <c r="F121" s="46">
        <v>539</v>
      </c>
      <c r="G121" s="46">
        <v>104.07884457043231</v>
      </c>
      <c r="H121" s="46">
        <v>3.3900000000000001</v>
      </c>
      <c r="I121" s="46">
        <v>2.1899540000000002</v>
      </c>
      <c r="J121" s="46">
        <f t="shared" si="73"/>
        <v>-1.2000459999999999</v>
      </c>
      <c r="K121" s="46">
        <f t="shared" si="82"/>
        <v>1.2000459999999999</v>
      </c>
      <c r="L121" s="51">
        <f t="shared" si="51"/>
        <v>31.723231825067771</v>
      </c>
      <c r="M121" s="51">
        <f t="shared" si="52"/>
        <v>1.0332720000000002</v>
      </c>
      <c r="N121" s="51">
        <f t="shared" si="53"/>
        <v>0.66749797920000009</v>
      </c>
      <c r="O121" s="51">
        <f t="shared" si="54"/>
        <v>-0.36577402079999999</v>
      </c>
      <c r="P121" s="51">
        <f t="shared" si="55"/>
        <v>0.36577402079999999</v>
      </c>
      <c r="Q121" s="52">
        <f t="shared" si="83"/>
        <v>-35.399587020648966</v>
      </c>
      <c r="R121" s="52">
        <f t="shared" si="84"/>
        <v>35.399587020648966</v>
      </c>
      <c r="T121" s="46">
        <v>104.07884457043231</v>
      </c>
      <c r="U121" s="52">
        <v>1</v>
      </c>
      <c r="V121" s="52">
        <v>0.74947200000000003</v>
      </c>
      <c r="W121" s="52">
        <f t="shared" si="85"/>
        <v>-0.25052799999999997</v>
      </c>
      <c r="X121" s="52">
        <f t="shared" si="86"/>
        <v>0.25052799999999997</v>
      </c>
      <c r="Y121" s="52">
        <f t="shared" si="63"/>
        <v>31.723231825067771</v>
      </c>
      <c r="Z121" s="52">
        <f t="shared" si="64"/>
        <v>0.30480000000000002</v>
      </c>
      <c r="AA121" s="52">
        <f t="shared" si="65"/>
        <v>0.22843906560000002</v>
      </c>
      <c r="AB121" s="52">
        <f t="shared" si="66"/>
        <v>-0.076360934399999997</v>
      </c>
      <c r="AC121" s="52">
        <f t="shared" si="67"/>
        <v>0.076360934399999997</v>
      </c>
      <c r="AD121" s="52">
        <f t="shared" si="87"/>
        <v>-25.052799999999998</v>
      </c>
      <c r="AE121" s="52">
        <f t="shared" si="88"/>
        <v>25.052799999999998</v>
      </c>
    </row>
    <row r="122" s="72" customFormat="1">
      <c r="A122" s="75" t="s">
        <v>92</v>
      </c>
      <c r="B122" s="72">
        <v>1126</v>
      </c>
      <c r="C122" s="72">
        <v>2201340.196</v>
      </c>
      <c r="D122" s="72">
        <v>6717821.8810000001</v>
      </c>
      <c r="E122" s="72">
        <v>103.434</v>
      </c>
      <c r="F122" s="72">
        <v>539</v>
      </c>
      <c r="G122" s="72">
        <v>25.972722766649383</v>
      </c>
      <c r="H122" s="72">
        <v>2.6600000000000001</v>
      </c>
      <c r="I122" s="72">
        <v>1.85887</v>
      </c>
      <c r="J122" s="72">
        <f t="shared" si="73"/>
        <v>-0.80113000000000012</v>
      </c>
      <c r="K122" s="72">
        <f t="shared" ref="K122:K129" si="89">ABS(J122)</f>
        <v>0.80113000000000012</v>
      </c>
      <c r="L122" s="73">
        <f t="shared" si="51"/>
        <v>7.9164858992747327</v>
      </c>
      <c r="M122" s="73">
        <f t="shared" si="52"/>
        <v>0.81076800000000004</v>
      </c>
      <c r="N122" s="73">
        <f t="shared" si="53"/>
        <v>0.56658357600000009</v>
      </c>
      <c r="O122" s="73">
        <f t="shared" si="54"/>
        <v>-0.24418442400000004</v>
      </c>
      <c r="P122" s="73">
        <f t="shared" si="55"/>
        <v>0.24418442400000004</v>
      </c>
      <c r="Q122" s="74">
        <f t="shared" ref="Q122:Q129" si="90">100*J122/H122</f>
        <v>-30.117669172932334</v>
      </c>
      <c r="R122" s="74">
        <f t="shared" ref="R122:R129" si="91">ABS(Q122)</f>
        <v>30.117669172932334</v>
      </c>
      <c r="T122" s="72">
        <v>25.972722766649383</v>
      </c>
      <c r="U122" s="74">
        <v>2.1981360000000003</v>
      </c>
      <c r="V122" s="74">
        <v>1.8079639999999999</v>
      </c>
      <c r="W122" s="74">
        <f t="shared" ref="W122:W129" si="92">V122-U122</f>
        <v>-0.39017200000000041</v>
      </c>
      <c r="X122" s="74">
        <f t="shared" ref="X122:X129" si="93">ABS(W122)</f>
        <v>0.39017200000000041</v>
      </c>
      <c r="Y122" s="74">
        <f t="shared" si="63"/>
        <v>7.9164858992747327</v>
      </c>
      <c r="Z122" s="74">
        <f t="shared" si="64"/>
        <v>0.66999185280000018</v>
      </c>
      <c r="AA122" s="74">
        <f t="shared" si="65"/>
        <v>0.55106742720000002</v>
      </c>
      <c r="AB122" s="74">
        <f t="shared" si="66"/>
        <v>-0.11892442560000013</v>
      </c>
      <c r="AC122" s="74">
        <f t="shared" si="67"/>
        <v>0.11892442560000013</v>
      </c>
      <c r="AD122" s="74">
        <f t="shared" ref="AD122:AD129" si="94">100*W122/U122</f>
        <v>-17.750130110238871</v>
      </c>
      <c r="AE122" s="74">
        <f t="shared" ref="AE122:AE129" si="95">ABS(AD122)</f>
        <v>17.750130110238871</v>
      </c>
    </row>
    <row r="123">
      <c r="B123" s="46">
        <v>1127</v>
      </c>
      <c r="C123" s="46">
        <v>2201347.2749999999</v>
      </c>
      <c r="D123" s="46">
        <v>6717814.3380000005</v>
      </c>
      <c r="E123" s="46">
        <v>103.26600000000001</v>
      </c>
      <c r="F123" s="46">
        <v>539</v>
      </c>
      <c r="G123" s="46">
        <v>36.317242571486368</v>
      </c>
      <c r="H123" s="46">
        <v>3.0099999999999998</v>
      </c>
      <c r="I123" s="46">
        <v>3.3464149999999999</v>
      </c>
      <c r="J123" s="46">
        <f t="shared" si="73"/>
        <v>0.33641500000000013</v>
      </c>
      <c r="K123" s="46">
        <f t="shared" si="89"/>
        <v>0.33641500000000013</v>
      </c>
      <c r="L123" s="51">
        <f t="shared" si="51"/>
        <v>11.069495535789045</v>
      </c>
      <c r="M123" s="51">
        <f t="shared" si="52"/>
        <v>0.91744799999999993</v>
      </c>
      <c r="N123" s="51">
        <f t="shared" si="53"/>
        <v>1.0199872919999999</v>
      </c>
      <c r="O123" s="51">
        <f t="shared" si="54"/>
        <v>0.10253929200000005</v>
      </c>
      <c r="P123" s="51">
        <f t="shared" si="55"/>
        <v>0.10253929200000005</v>
      </c>
      <c r="Q123" s="52">
        <f t="shared" si="90"/>
        <v>11.176578073089706</v>
      </c>
      <c r="R123" s="52">
        <f t="shared" si="91"/>
        <v>11.176578073089706</v>
      </c>
      <c r="T123" s="46">
        <v>36.317242571486368</v>
      </c>
      <c r="U123" s="52">
        <v>2.3999999999999999</v>
      </c>
      <c r="V123" s="52">
        <v>2.586856</v>
      </c>
      <c r="W123" s="52">
        <f t="shared" si="92"/>
        <v>0.18685600000000013</v>
      </c>
      <c r="X123" s="52">
        <f t="shared" si="93"/>
        <v>0.18685600000000013</v>
      </c>
      <c r="Y123" s="52">
        <f t="shared" si="63"/>
        <v>11.069495535789045</v>
      </c>
      <c r="Z123" s="52">
        <f t="shared" si="64"/>
        <v>0.73152000000000006</v>
      </c>
      <c r="AA123" s="52">
        <f t="shared" si="65"/>
        <v>0.78847370880000001</v>
      </c>
      <c r="AB123" s="52">
        <f t="shared" si="66"/>
        <v>0.056953708800000044</v>
      </c>
      <c r="AC123" s="52">
        <f t="shared" si="67"/>
        <v>0.056953708800000044</v>
      </c>
      <c r="AD123" s="52">
        <f t="shared" si="94"/>
        <v>7.785666666666673</v>
      </c>
      <c r="AE123" s="52">
        <f t="shared" si="95"/>
        <v>7.785666666666673</v>
      </c>
    </row>
    <row r="124">
      <c r="B124" s="46">
        <v>1128</v>
      </c>
      <c r="C124" s="46">
        <v>2201353.6699999999</v>
      </c>
      <c r="D124" s="46">
        <v>6717807.2249999996</v>
      </c>
      <c r="E124" s="46">
        <v>103.004</v>
      </c>
      <c r="F124" s="46">
        <v>539</v>
      </c>
      <c r="G124" s="46">
        <v>45.882324589535315</v>
      </c>
      <c r="H124" s="46">
        <v>2.6899999999999999</v>
      </c>
      <c r="I124" s="46">
        <v>3.6771189999999998</v>
      </c>
      <c r="J124" s="46">
        <f t="shared" si="73"/>
        <v>0.98711899999999986</v>
      </c>
      <c r="K124" s="46">
        <f t="shared" si="89"/>
        <v>0.98711899999999986</v>
      </c>
      <c r="L124" s="51">
        <f t="shared" si="51"/>
        <v>13.984932534890365</v>
      </c>
      <c r="M124" s="51">
        <f t="shared" si="52"/>
        <v>0.81991199999999997</v>
      </c>
      <c r="N124" s="51">
        <f t="shared" si="53"/>
        <v>1.1207858712000001</v>
      </c>
      <c r="O124" s="51">
        <f t="shared" si="54"/>
        <v>0.30087387119999998</v>
      </c>
      <c r="P124" s="51">
        <f t="shared" si="55"/>
        <v>0.30087387119999998</v>
      </c>
      <c r="Q124" s="52">
        <f t="shared" si="90"/>
        <v>36.695873605947952</v>
      </c>
      <c r="R124" s="52">
        <f t="shared" si="91"/>
        <v>36.695873605947952</v>
      </c>
      <c r="T124" s="46">
        <v>45.882324589535315</v>
      </c>
      <c r="U124" s="52">
        <v>2.6574480000000005</v>
      </c>
      <c r="V124" s="52">
        <v>2.9070849999999999</v>
      </c>
      <c r="W124" s="52">
        <f t="shared" si="92"/>
        <v>0.24963699999999944</v>
      </c>
      <c r="X124" s="52">
        <f t="shared" si="93"/>
        <v>0.24963699999999944</v>
      </c>
      <c r="Y124" s="52">
        <f t="shared" si="63"/>
        <v>13.984932534890365</v>
      </c>
      <c r="Z124" s="52">
        <f t="shared" si="64"/>
        <v>0.80999015040000022</v>
      </c>
      <c r="AA124" s="52">
        <f t="shared" si="65"/>
        <v>0.88607950800000002</v>
      </c>
      <c r="AB124" s="52">
        <f t="shared" si="66"/>
        <v>0.076089357599999838</v>
      </c>
      <c r="AC124" s="52">
        <f t="shared" si="67"/>
        <v>0.076089357599999838</v>
      </c>
      <c r="AD124" s="52">
        <f t="shared" si="94"/>
        <v>9.3938620812147366</v>
      </c>
      <c r="AE124" s="52">
        <f t="shared" si="95"/>
        <v>9.3938620812147366</v>
      </c>
    </row>
    <row r="125">
      <c r="B125" s="46">
        <v>1129</v>
      </c>
      <c r="C125" s="46">
        <v>2201359.696</v>
      </c>
      <c r="D125" s="46">
        <v>6717799.4210000001</v>
      </c>
      <c r="E125" s="46">
        <v>103.09999999999999</v>
      </c>
      <c r="F125" s="46">
        <v>539</v>
      </c>
      <c r="G125" s="46">
        <v>55.742095986157203</v>
      </c>
      <c r="H125" s="46">
        <v>3.29</v>
      </c>
      <c r="I125" s="46">
        <v>3.6685400000000001</v>
      </c>
      <c r="J125" s="46">
        <f t="shared" si="73"/>
        <v>0.3785400000000001</v>
      </c>
      <c r="K125" s="46">
        <f t="shared" si="89"/>
        <v>0.3785400000000001</v>
      </c>
      <c r="L125" s="51">
        <f t="shared" si="51"/>
        <v>16.990190856580718</v>
      </c>
      <c r="M125" s="51">
        <f t="shared" si="52"/>
        <v>1.0027920000000001</v>
      </c>
      <c r="N125" s="51">
        <f t="shared" si="53"/>
        <v>1.118170992</v>
      </c>
      <c r="O125" s="51">
        <f t="shared" si="54"/>
        <v>0.11537899200000004</v>
      </c>
      <c r="P125" s="51">
        <f t="shared" si="55"/>
        <v>0.11537899200000004</v>
      </c>
      <c r="Q125" s="52">
        <f t="shared" si="90"/>
        <v>11.505775075987845</v>
      </c>
      <c r="R125" s="52">
        <f t="shared" si="91"/>
        <v>11.505775075987845</v>
      </c>
      <c r="T125" s="46">
        <v>55.742095986157203</v>
      </c>
      <c r="U125" s="52">
        <v>2.3999999999999999</v>
      </c>
      <c r="V125" s="52">
        <v>2.647421</v>
      </c>
      <c r="W125" s="52">
        <f t="shared" si="92"/>
        <v>0.24742100000000011</v>
      </c>
      <c r="X125" s="52">
        <f t="shared" si="93"/>
        <v>0.24742100000000011</v>
      </c>
      <c r="Y125" s="52">
        <f t="shared" si="63"/>
        <v>16.990190856580718</v>
      </c>
      <c r="Z125" s="52">
        <f t="shared" si="64"/>
        <v>0.73152000000000006</v>
      </c>
      <c r="AA125" s="52">
        <f t="shared" si="65"/>
        <v>0.80693392080000004</v>
      </c>
      <c r="AB125" s="52">
        <f t="shared" si="66"/>
        <v>0.075413920800000034</v>
      </c>
      <c r="AC125" s="52">
        <f t="shared" si="67"/>
        <v>0.075413920800000034</v>
      </c>
      <c r="AD125" s="52">
        <f t="shared" si="94"/>
        <v>10.309208333333338</v>
      </c>
      <c r="AE125" s="52">
        <f t="shared" si="95"/>
        <v>10.309208333333338</v>
      </c>
    </row>
    <row r="126">
      <c r="B126" s="46">
        <v>1130</v>
      </c>
      <c r="C126" s="46">
        <v>2201367.5639999998</v>
      </c>
      <c r="D126" s="46">
        <v>6717792.9220000003</v>
      </c>
      <c r="E126" s="46">
        <v>103.48399999999999</v>
      </c>
      <c r="F126" s="46">
        <v>539</v>
      </c>
      <c r="G126" s="46">
        <v>65.947115584103571</v>
      </c>
      <c r="H126" s="46">
        <v>3.5800000000000001</v>
      </c>
      <c r="I126" s="46">
        <v>3.6834859999999998</v>
      </c>
      <c r="J126" s="46">
        <f t="shared" si="73"/>
        <v>0.10348599999999974</v>
      </c>
      <c r="K126" s="46">
        <f t="shared" si="89"/>
        <v>0.10348599999999974</v>
      </c>
      <c r="L126" s="51">
        <f t="shared" si="51"/>
        <v>20.100680830034769</v>
      </c>
      <c r="M126" s="51">
        <f t="shared" si="52"/>
        <v>1.0911840000000002</v>
      </c>
      <c r="N126" s="51">
        <f t="shared" si="53"/>
        <v>1.1227265328</v>
      </c>
      <c r="O126" s="51">
        <f t="shared" si="54"/>
        <v>0.031542532799999926</v>
      </c>
      <c r="P126" s="51">
        <f t="shared" si="55"/>
        <v>0.031542532799999926</v>
      </c>
      <c r="Q126" s="52">
        <f t="shared" si="90"/>
        <v>2.8906703910614455</v>
      </c>
      <c r="R126" s="52">
        <f t="shared" si="91"/>
        <v>2.8906703910614455</v>
      </c>
      <c r="T126" s="46">
        <v>65.947115584103571</v>
      </c>
      <c r="U126" s="52">
        <v>2.1653280000000001</v>
      </c>
      <c r="V126" s="52">
        <v>2.6383320000000001</v>
      </c>
      <c r="W126" s="52">
        <f t="shared" si="92"/>
        <v>0.47300399999999998</v>
      </c>
      <c r="X126" s="52">
        <f t="shared" si="93"/>
        <v>0.47300399999999998</v>
      </c>
      <c r="Y126" s="52">
        <f t="shared" si="63"/>
        <v>20.100680830034769</v>
      </c>
      <c r="Z126" s="52">
        <f t="shared" si="64"/>
        <v>0.65999197440000013</v>
      </c>
      <c r="AA126" s="52">
        <f t="shared" si="65"/>
        <v>0.80416359360000012</v>
      </c>
      <c r="AB126" s="52">
        <f t="shared" si="66"/>
        <v>0.14417161919999999</v>
      </c>
      <c r="AC126" s="52">
        <f t="shared" si="67"/>
        <v>0.14417161919999999</v>
      </c>
      <c r="AD126" s="52">
        <f t="shared" si="94"/>
        <v>21.84445035578905</v>
      </c>
      <c r="AE126" s="52">
        <f t="shared" si="95"/>
        <v>21.84445035578905</v>
      </c>
    </row>
    <row r="127">
      <c r="B127" s="46">
        <v>1131</v>
      </c>
      <c r="C127" s="46">
        <v>2201374.6830000002</v>
      </c>
      <c r="D127" s="46">
        <v>6717785.5049999999</v>
      </c>
      <c r="E127" s="46">
        <v>103.57599999999999</v>
      </c>
      <c r="F127" s="46">
        <v>539</v>
      </c>
      <c r="G127" s="46">
        <v>76.227779473721938</v>
      </c>
      <c r="H127" s="46">
        <v>2.6899999999999999</v>
      </c>
      <c r="I127" s="46">
        <v>3.1786699999999999</v>
      </c>
      <c r="J127" s="46">
        <f t="shared" si="73"/>
        <v>0.48866999999999994</v>
      </c>
      <c r="K127" s="46">
        <f t="shared" si="89"/>
        <v>0.48866999999999994</v>
      </c>
      <c r="L127" s="51">
        <f t="shared" si="51"/>
        <v>23.234227183590448</v>
      </c>
      <c r="M127" s="51">
        <f t="shared" si="52"/>
        <v>0.81991199999999997</v>
      </c>
      <c r="N127" s="51">
        <f t="shared" si="53"/>
        <v>0.96885861600000001</v>
      </c>
      <c r="O127" s="51">
        <f t="shared" si="54"/>
        <v>0.14894661599999998</v>
      </c>
      <c r="P127" s="51">
        <f t="shared" si="55"/>
        <v>0.14894661599999998</v>
      </c>
      <c r="Q127" s="52">
        <f t="shared" si="90"/>
        <v>18.166171003717469</v>
      </c>
      <c r="R127" s="52">
        <f t="shared" si="91"/>
        <v>18.166171003717469</v>
      </c>
      <c r="T127" s="46">
        <v>76.227779473721938</v>
      </c>
      <c r="U127" s="52">
        <v>2</v>
      </c>
      <c r="V127" s="52">
        <v>2.2115300000000002</v>
      </c>
      <c r="W127" s="52">
        <f t="shared" si="92"/>
        <v>0.21153000000000022</v>
      </c>
      <c r="X127" s="52">
        <f t="shared" si="93"/>
        <v>0.21153000000000022</v>
      </c>
      <c r="Y127" s="52">
        <f t="shared" si="63"/>
        <v>23.234227183590448</v>
      </c>
      <c r="Z127" s="52">
        <f t="shared" si="64"/>
        <v>0.60960000000000003</v>
      </c>
      <c r="AA127" s="52">
        <f t="shared" si="65"/>
        <v>0.6740743440000001</v>
      </c>
      <c r="AB127" s="52">
        <f t="shared" si="66"/>
        <v>0.064474344000000072</v>
      </c>
      <c r="AC127" s="52">
        <f t="shared" si="67"/>
        <v>0.064474344000000072</v>
      </c>
      <c r="AD127" s="52">
        <f t="shared" si="94"/>
        <v>10.57650000000001</v>
      </c>
      <c r="AE127" s="52">
        <f t="shared" si="95"/>
        <v>10.57650000000001</v>
      </c>
    </row>
    <row r="128">
      <c r="B128" s="46">
        <v>1132</v>
      </c>
      <c r="C128" s="46">
        <v>2201382.5240000002</v>
      </c>
      <c r="D128" s="46">
        <v>6717777.1509999996</v>
      </c>
      <c r="E128" s="46">
        <v>104.00700000000001</v>
      </c>
      <c r="F128" s="46">
        <v>539</v>
      </c>
      <c r="G128" s="46">
        <v>87.685117602840933</v>
      </c>
      <c r="H128" s="46">
        <v>2.5899999999999999</v>
      </c>
      <c r="I128" s="46">
        <v>2.18059</v>
      </c>
      <c r="J128" s="46">
        <f t="shared" si="73"/>
        <v>-0.40940999999999983</v>
      </c>
      <c r="K128" s="46">
        <f t="shared" si="89"/>
        <v>0.40940999999999983</v>
      </c>
      <c r="L128" s="51">
        <f t="shared" si="51"/>
        <v>26.726423845345916</v>
      </c>
      <c r="M128" s="51">
        <f t="shared" si="52"/>
        <v>0.78943200000000002</v>
      </c>
      <c r="N128" s="51">
        <f t="shared" si="53"/>
        <v>0.66464383199999999</v>
      </c>
      <c r="O128" s="51">
        <f t="shared" si="54"/>
        <v>-0.12478816799999995</v>
      </c>
      <c r="P128" s="51">
        <f t="shared" si="55"/>
        <v>0.12478816799999995</v>
      </c>
      <c r="Q128" s="52">
        <f t="shared" si="90"/>
        <v>-15.807335907335901</v>
      </c>
      <c r="R128" s="52">
        <f t="shared" si="91"/>
        <v>15.807335907335901</v>
      </c>
      <c r="T128" s="46">
        <v>87.685117602840933</v>
      </c>
      <c r="U128" s="52">
        <v>1.673208</v>
      </c>
      <c r="V128" s="52">
        <v>1.7211019999999999</v>
      </c>
      <c r="W128" s="52">
        <f t="shared" si="92"/>
        <v>0.047893999999999881</v>
      </c>
      <c r="X128" s="52">
        <f t="shared" si="93"/>
        <v>0.047893999999999881</v>
      </c>
      <c r="Y128" s="52">
        <f t="shared" si="63"/>
        <v>26.726423845345916</v>
      </c>
      <c r="Z128" s="52">
        <f t="shared" si="64"/>
        <v>0.50999379840000003</v>
      </c>
      <c r="AA128" s="52">
        <f t="shared" si="65"/>
        <v>0.52459188960000003</v>
      </c>
      <c r="AB128" s="52">
        <f t="shared" si="66"/>
        <v>0.014598091199999965</v>
      </c>
      <c r="AC128" s="52">
        <f t="shared" si="67"/>
        <v>0.014598091199999965</v>
      </c>
      <c r="AD128" s="52">
        <f t="shared" si="94"/>
        <v>2.8624056303818701</v>
      </c>
      <c r="AE128" s="52">
        <f t="shared" si="95"/>
        <v>2.8624056303818701</v>
      </c>
    </row>
    <row r="129">
      <c r="B129" s="46">
        <v>1133</v>
      </c>
      <c r="C129" s="46">
        <v>2201391.5950000002</v>
      </c>
      <c r="D129" s="46">
        <v>6717769.1500000004</v>
      </c>
      <c r="E129" s="46">
        <v>103.755</v>
      </c>
      <c r="F129" s="46">
        <v>539</v>
      </c>
      <c r="G129" s="46">
        <v>99.780531691976222</v>
      </c>
      <c r="H129" s="46">
        <v>0.89000000000000001</v>
      </c>
      <c r="I129" s="46">
        <v>0.64166599999999996</v>
      </c>
      <c r="J129" s="46">
        <f t="shared" si="73"/>
        <v>-0.24833400000000005</v>
      </c>
      <c r="K129" s="46">
        <f t="shared" si="89"/>
        <v>0.24833400000000005</v>
      </c>
      <c r="L129" s="51">
        <f t="shared" si="51"/>
        <v>30.413106059714355</v>
      </c>
      <c r="M129" s="51">
        <f t="shared" si="52"/>
        <v>0.27127200000000001</v>
      </c>
      <c r="N129" s="51">
        <f t="shared" si="53"/>
        <v>0.19557979680000001</v>
      </c>
      <c r="O129" s="51">
        <f t="shared" si="54"/>
        <v>-0.075692203200000016</v>
      </c>
      <c r="P129" s="51">
        <f t="shared" si="55"/>
        <v>0.075692203200000016</v>
      </c>
      <c r="Q129" s="52">
        <f t="shared" si="90"/>
        <v>-27.902696629213487</v>
      </c>
      <c r="R129" s="52">
        <f t="shared" si="91"/>
        <v>27.902696629213487</v>
      </c>
      <c r="T129" s="46">
        <v>99.780531691976222</v>
      </c>
      <c r="U129" s="52">
        <v>1.7</v>
      </c>
      <c r="V129" s="52">
        <v>0.59325099999999997</v>
      </c>
      <c r="W129" s="52">
        <f t="shared" si="92"/>
        <v>-1.106749</v>
      </c>
      <c r="X129" s="52">
        <f t="shared" si="93"/>
        <v>1.106749</v>
      </c>
      <c r="Y129" s="52">
        <f t="shared" si="63"/>
        <v>30.413106059714355</v>
      </c>
      <c r="Z129" s="52">
        <f t="shared" si="64"/>
        <v>0.51816000000000006</v>
      </c>
      <c r="AA129" s="52">
        <f t="shared" si="65"/>
        <v>0.18082290479999999</v>
      </c>
      <c r="AB129" s="52">
        <f t="shared" si="66"/>
        <v>-0.33733709519999999</v>
      </c>
      <c r="AC129" s="52">
        <f t="shared" si="67"/>
        <v>0.33733709519999999</v>
      </c>
      <c r="AD129" s="52">
        <f t="shared" si="94"/>
        <v>-65.10288235294118</v>
      </c>
      <c r="AE129" s="52">
        <f t="shared" si="95"/>
        <v>65.10288235294118</v>
      </c>
    </row>
    <row r="130" s="72" customFormat="1">
      <c r="A130" s="75" t="s">
        <v>94</v>
      </c>
      <c r="B130" s="72">
        <v>1135</v>
      </c>
      <c r="C130" s="72">
        <v>2193402.2349999999</v>
      </c>
      <c r="D130" s="72">
        <v>6702066.0159999998</v>
      </c>
      <c r="E130" s="72">
        <v>72.742000000000004</v>
      </c>
      <c r="F130" s="72">
        <v>539</v>
      </c>
      <c r="G130" s="72">
        <v>210.16863988241317</v>
      </c>
      <c r="H130" s="72">
        <v>1.1499999999999999</v>
      </c>
      <c r="I130" s="72">
        <v>0.81947700000000001</v>
      </c>
      <c r="J130" s="72">
        <f t="shared" si="73"/>
        <v>-0.3305229999999999</v>
      </c>
      <c r="K130" s="72">
        <f t="shared" ref="K130:K149" si="96">ABS(J130)</f>
        <v>0.3305229999999999</v>
      </c>
      <c r="L130" s="73">
        <f t="shared" si="51"/>
        <v>64.059401436159533</v>
      </c>
      <c r="M130" s="73">
        <f t="shared" si="52"/>
        <v>0.35052</v>
      </c>
      <c r="N130" s="73">
        <f t="shared" si="53"/>
        <v>0.24977658960000002</v>
      </c>
      <c r="O130" s="73">
        <f t="shared" si="54"/>
        <v>-0.10074341039999997</v>
      </c>
      <c r="P130" s="73">
        <f t="shared" si="55"/>
        <v>0.10074341039999997</v>
      </c>
      <c r="Q130" s="74">
        <f t="shared" ref="Q130:Q149" si="97">100*J130/H130</f>
        <v>-28.741130434782601</v>
      </c>
      <c r="R130" s="74">
        <f t="shared" ref="R130:R149" si="98">ABS(Q130)</f>
        <v>28.741130434782601</v>
      </c>
      <c r="T130" s="72">
        <v>210.16863988241317</v>
      </c>
      <c r="U130" s="74">
        <v>0.72177600000000008</v>
      </c>
      <c r="V130" s="74">
        <v>0.53338099999999999</v>
      </c>
      <c r="W130" s="74">
        <f t="shared" ref="W130:W149" si="99">V130-U130</f>
        <v>-0.18839500000000009</v>
      </c>
      <c r="X130" s="74">
        <f t="shared" ref="X130:X149" si="100">ABS(W130)</f>
        <v>0.18839500000000009</v>
      </c>
      <c r="Y130" s="74">
        <f t="shared" si="63"/>
        <v>64.059401436159533</v>
      </c>
      <c r="Z130" s="74">
        <f t="shared" si="64"/>
        <v>0.21999732480000003</v>
      </c>
      <c r="AA130" s="74">
        <f t="shared" si="65"/>
        <v>0.16257452880000001</v>
      </c>
      <c r="AB130" s="74">
        <f t="shared" si="66"/>
        <v>-0.057422796000000033</v>
      </c>
      <c r="AC130" s="74">
        <f t="shared" si="67"/>
        <v>0.057422796000000033</v>
      </c>
      <c r="AD130" s="74">
        <f t="shared" ref="AD130:AD149" si="101">100*W130/U130</f>
        <v>-26.1015883044047</v>
      </c>
      <c r="AE130" s="74">
        <f t="shared" ref="AE130:AE149" si="102">ABS(AD130)</f>
        <v>26.1015883044047</v>
      </c>
    </row>
    <row r="131">
      <c r="B131" s="46">
        <v>1136</v>
      </c>
      <c r="C131" s="46">
        <v>2193406.861</v>
      </c>
      <c r="D131" s="46">
        <v>6702059.0990000004</v>
      </c>
      <c r="E131" s="46">
        <v>72.736999999999995</v>
      </c>
      <c r="F131" s="46">
        <v>539</v>
      </c>
      <c r="G131" s="46">
        <v>201.84729594085644</v>
      </c>
      <c r="H131" s="46">
        <v>1.0600000000000001</v>
      </c>
      <c r="I131" s="46">
        <v>1.480802</v>
      </c>
      <c r="J131" s="46">
        <f t="shared" si="73"/>
        <v>0.4208019999999999</v>
      </c>
      <c r="K131" s="46">
        <f t="shared" si="96"/>
        <v>0.4208019999999999</v>
      </c>
      <c r="L131" s="51">
        <f t="shared" si="51"/>
        <v>61.523055802773044</v>
      </c>
      <c r="M131" s="51">
        <f t="shared" si="52"/>
        <v>0.32308800000000004</v>
      </c>
      <c r="N131" s="51">
        <f t="shared" si="53"/>
        <v>0.45134844960000003</v>
      </c>
      <c r="O131" s="51">
        <f t="shared" si="54"/>
        <v>0.12826044959999996</v>
      </c>
      <c r="P131" s="51">
        <f t="shared" si="55"/>
        <v>0.12826044959999996</v>
      </c>
      <c r="Q131" s="52">
        <f t="shared" si="97"/>
        <v>39.698301886792443</v>
      </c>
      <c r="R131" s="52">
        <f t="shared" si="98"/>
        <v>39.698301886792443</v>
      </c>
      <c r="T131" s="46">
        <v>201.84729594085644</v>
      </c>
      <c r="U131" s="52">
        <v>0.90000000000000002</v>
      </c>
      <c r="V131" s="52">
        <v>0.91638399999999998</v>
      </c>
      <c r="W131" s="52">
        <f t="shared" si="99"/>
        <v>0.016383999999999954</v>
      </c>
      <c r="X131" s="52">
        <f t="shared" si="100"/>
        <v>0.016383999999999954</v>
      </c>
      <c r="Y131" s="52">
        <f t="shared" si="63"/>
        <v>61.523055802773044</v>
      </c>
      <c r="Z131" s="52">
        <f t="shared" si="64"/>
        <v>0.27432000000000001</v>
      </c>
      <c r="AA131" s="52">
        <f t="shared" si="65"/>
        <v>0.27931384320000002</v>
      </c>
      <c r="AB131" s="52">
        <f t="shared" si="66"/>
        <v>0.0049938431999999866</v>
      </c>
      <c r="AC131" s="52">
        <f t="shared" si="67"/>
        <v>0.0049938431999999866</v>
      </c>
      <c r="AD131" s="52">
        <f t="shared" si="101"/>
        <v>1.8204444444444392</v>
      </c>
      <c r="AE131" s="52">
        <f t="shared" si="102"/>
        <v>1.8204444444444392</v>
      </c>
    </row>
    <row r="132">
      <c r="B132" s="46">
        <v>1137</v>
      </c>
      <c r="C132" s="46">
        <v>2193416.0490000001</v>
      </c>
      <c r="D132" s="46">
        <v>6702049.5219999999</v>
      </c>
      <c r="E132" s="46">
        <v>72.555999999999997</v>
      </c>
      <c r="F132" s="46">
        <v>539</v>
      </c>
      <c r="G132" s="46">
        <v>188.57558644240248</v>
      </c>
      <c r="H132" s="46">
        <v>1.54</v>
      </c>
      <c r="I132" s="46">
        <v>1.549715</v>
      </c>
      <c r="J132" s="46">
        <f t="shared" si="73"/>
        <v>0.0097149999999999181</v>
      </c>
      <c r="K132" s="46">
        <f t="shared" si="96"/>
        <v>0.0097149999999999181</v>
      </c>
      <c r="L132" s="51">
        <f t="shared" si="51"/>
        <v>57.477838747644277</v>
      </c>
      <c r="M132" s="51">
        <f t="shared" si="52"/>
        <v>0.46939200000000003</v>
      </c>
      <c r="N132" s="51">
        <f t="shared" si="53"/>
        <v>0.47235313200000001</v>
      </c>
      <c r="O132" s="51">
        <f t="shared" si="54"/>
        <v>0.0029611319999999753</v>
      </c>
      <c r="P132" s="51">
        <f t="shared" si="55"/>
        <v>0.0029611319999999753</v>
      </c>
      <c r="Q132" s="52">
        <f t="shared" si="97"/>
        <v>0.63084415584415054</v>
      </c>
      <c r="R132" s="52">
        <f t="shared" si="98"/>
        <v>0.63084415584415054</v>
      </c>
      <c r="T132" s="46">
        <v>188.57558644240248</v>
      </c>
      <c r="U132" s="52">
        <v>1.0826640000000001</v>
      </c>
      <c r="V132" s="52">
        <v>1.128028</v>
      </c>
      <c r="W132" s="52">
        <f t="shared" si="99"/>
        <v>0.04536399999999996</v>
      </c>
      <c r="X132" s="52">
        <f t="shared" si="100"/>
        <v>0.04536399999999996</v>
      </c>
      <c r="Y132" s="52">
        <f t="shared" si="63"/>
        <v>57.477838747644277</v>
      </c>
      <c r="Z132" s="52">
        <f t="shared" si="64"/>
        <v>0.32999598720000006</v>
      </c>
      <c r="AA132" s="52">
        <f t="shared" si="65"/>
        <v>0.3438229344</v>
      </c>
      <c r="AB132" s="52">
        <f t="shared" si="66"/>
        <v>0.013826947199999988</v>
      </c>
      <c r="AC132" s="52">
        <f t="shared" si="67"/>
        <v>0.013826947199999988</v>
      </c>
      <c r="AD132" s="52">
        <f t="shared" si="101"/>
        <v>4.1900349508249981</v>
      </c>
      <c r="AE132" s="52">
        <f t="shared" si="102"/>
        <v>4.1900349508249981</v>
      </c>
    </row>
    <row r="133">
      <c r="B133" s="46">
        <v>1138</v>
      </c>
      <c r="C133" s="46">
        <v>2193422.2519999999</v>
      </c>
      <c r="D133" s="46">
        <v>6702043.773</v>
      </c>
      <c r="E133" s="46">
        <v>72.593999999999994</v>
      </c>
      <c r="F133" s="46">
        <v>539</v>
      </c>
      <c r="G133" s="46">
        <v>180.11815125228884</v>
      </c>
      <c r="H133" s="46">
        <v>1.3799999999999999</v>
      </c>
      <c r="I133" s="46">
        <v>1.6317360000000001</v>
      </c>
      <c r="J133" s="46">
        <f t="shared" si="73"/>
        <v>0.25173600000000018</v>
      </c>
      <c r="K133" s="46">
        <f t="shared" si="96"/>
        <v>0.25173600000000018</v>
      </c>
      <c r="L133" s="51">
        <f t="shared" si="51"/>
        <v>54.900012501697638</v>
      </c>
      <c r="M133" s="51">
        <f t="shared" si="52"/>
        <v>0.420624</v>
      </c>
      <c r="N133" s="51">
        <f t="shared" si="53"/>
        <v>0.49735313280000004</v>
      </c>
      <c r="O133" s="51">
        <f t="shared" si="54"/>
        <v>0.076729132800000058</v>
      </c>
      <c r="P133" s="51">
        <f t="shared" si="55"/>
        <v>0.076729132800000058</v>
      </c>
      <c r="Q133" s="52">
        <f t="shared" si="97"/>
        <v>18.241739130434798</v>
      </c>
      <c r="R133" s="52">
        <f t="shared" si="98"/>
        <v>18.241739130434798</v>
      </c>
      <c r="T133" s="46">
        <v>180.11815125228884</v>
      </c>
      <c r="U133" s="52">
        <v>1.1000000000000001</v>
      </c>
      <c r="V133" s="52">
        <v>1.3040039999999999</v>
      </c>
      <c r="W133" s="52">
        <f t="shared" si="99"/>
        <v>0.20400399999999985</v>
      </c>
      <c r="X133" s="52">
        <f t="shared" si="100"/>
        <v>0.20400399999999985</v>
      </c>
      <c r="Y133" s="52">
        <f t="shared" si="63"/>
        <v>54.900012501697638</v>
      </c>
      <c r="Z133" s="52">
        <f t="shared" si="64"/>
        <v>0.33528000000000002</v>
      </c>
      <c r="AA133" s="52">
        <f t="shared" si="65"/>
        <v>0.39746041920000003</v>
      </c>
      <c r="AB133" s="52">
        <f t="shared" si="66"/>
        <v>0.062180419199999955</v>
      </c>
      <c r="AC133" s="52">
        <f t="shared" si="67"/>
        <v>0.062180419199999955</v>
      </c>
      <c r="AD133" s="52">
        <f t="shared" si="101"/>
        <v>18.545818181818166</v>
      </c>
      <c r="AE133" s="52">
        <f t="shared" si="102"/>
        <v>18.545818181818166</v>
      </c>
    </row>
    <row r="134">
      <c r="B134" s="46">
        <v>1139</v>
      </c>
      <c r="C134" s="46">
        <v>2193429.5189999999</v>
      </c>
      <c r="D134" s="46">
        <v>6702036.9680000003</v>
      </c>
      <c r="E134" s="46">
        <v>72.352000000000004</v>
      </c>
      <c r="F134" s="46">
        <v>539</v>
      </c>
      <c r="G134" s="46">
        <v>170.16238337653783</v>
      </c>
      <c r="H134" s="46">
        <v>1.3799999999999999</v>
      </c>
      <c r="I134" s="46">
        <v>1.7632140000000001</v>
      </c>
      <c r="J134" s="46">
        <f t="shared" si="73"/>
        <v>0.38321400000000017</v>
      </c>
      <c r="K134" s="46">
        <f t="shared" si="96"/>
        <v>0.38321400000000017</v>
      </c>
      <c r="L134" s="51">
        <f t="shared" si="51"/>
        <v>51.865494453168736</v>
      </c>
      <c r="M134" s="51">
        <f t="shared" si="52"/>
        <v>0.420624</v>
      </c>
      <c r="N134" s="51">
        <f t="shared" si="53"/>
        <v>0.53742762720000004</v>
      </c>
      <c r="O134" s="51">
        <f t="shared" si="54"/>
        <v>0.11680362720000005</v>
      </c>
      <c r="P134" s="51">
        <f t="shared" si="55"/>
        <v>0.11680362720000005</v>
      </c>
      <c r="Q134" s="52">
        <f t="shared" si="97"/>
        <v>27.769130434782625</v>
      </c>
      <c r="R134" s="52">
        <f t="shared" si="98"/>
        <v>27.769130434782625</v>
      </c>
      <c r="T134" s="46">
        <v>170.16238337653783</v>
      </c>
      <c r="U134" s="52">
        <v>1.2795120000000002</v>
      </c>
      <c r="V134" s="52">
        <v>1.509776</v>
      </c>
      <c r="W134" s="52">
        <f t="shared" si="99"/>
        <v>0.2302639999999998</v>
      </c>
      <c r="X134" s="52">
        <f t="shared" si="100"/>
        <v>0.2302639999999998</v>
      </c>
      <c r="Y134" s="52">
        <f t="shared" si="63"/>
        <v>51.865494453168736</v>
      </c>
      <c r="Z134" s="52">
        <f t="shared" si="64"/>
        <v>0.38999525760000009</v>
      </c>
      <c r="AA134" s="52">
        <f t="shared" si="65"/>
        <v>0.46017972480000002</v>
      </c>
      <c r="AB134" s="52">
        <f t="shared" si="66"/>
        <v>0.070184467199999948</v>
      </c>
      <c r="AC134" s="52">
        <f t="shared" si="67"/>
        <v>0.070184467199999948</v>
      </c>
      <c r="AD134" s="52">
        <f t="shared" si="101"/>
        <v>17.996236064999763</v>
      </c>
      <c r="AE134" s="52">
        <f t="shared" si="102"/>
        <v>17.996236064999763</v>
      </c>
    </row>
    <row r="135">
      <c r="B135" s="46">
        <v>1140</v>
      </c>
      <c r="C135" s="46">
        <v>2193436.7540000002</v>
      </c>
      <c r="D135" s="46">
        <v>6702029.1579999998</v>
      </c>
      <c r="E135" s="46">
        <v>72.058000000000007</v>
      </c>
      <c r="F135" s="46">
        <v>539</v>
      </c>
      <c r="G135" s="46">
        <v>159.51619509091194</v>
      </c>
      <c r="H135" s="46">
        <v>1.77</v>
      </c>
      <c r="I135" s="46">
        <v>1.903168</v>
      </c>
      <c r="J135" s="46">
        <f t="shared" si="73"/>
        <v>0.13316799999999995</v>
      </c>
      <c r="K135" s="46">
        <f t="shared" si="96"/>
        <v>0.13316799999999995</v>
      </c>
      <c r="L135" s="51">
        <f t="shared" si="51"/>
        <v>48.620536263709958</v>
      </c>
      <c r="M135" s="51">
        <f t="shared" si="52"/>
        <v>0.53949600000000009</v>
      </c>
      <c r="N135" s="51">
        <f t="shared" si="53"/>
        <v>0.58008560640000006</v>
      </c>
      <c r="O135" s="51">
        <f t="shared" si="54"/>
        <v>0.040589606399999985</v>
      </c>
      <c r="P135" s="51">
        <f t="shared" si="55"/>
        <v>0.040589606399999985</v>
      </c>
      <c r="Q135" s="52">
        <f t="shared" si="97"/>
        <v>7.523615819209037</v>
      </c>
      <c r="R135" s="52">
        <f t="shared" si="98"/>
        <v>7.523615819209037</v>
      </c>
      <c r="T135" s="46">
        <v>159.51619509091194</v>
      </c>
      <c r="U135" s="52">
        <v>1.6404000000000001</v>
      </c>
      <c r="V135" s="52">
        <v>1.7285360000000001</v>
      </c>
      <c r="W135" s="52">
        <f t="shared" si="99"/>
        <v>0.088135999999999992</v>
      </c>
      <c r="X135" s="52">
        <f t="shared" si="100"/>
        <v>0.088135999999999992</v>
      </c>
      <c r="Y135" s="52">
        <f t="shared" si="63"/>
        <v>48.620536263709958</v>
      </c>
      <c r="Z135" s="52">
        <f t="shared" si="64"/>
        <v>0.49999392000000004</v>
      </c>
      <c r="AA135" s="52">
        <f t="shared" si="65"/>
        <v>0.52685777280000001</v>
      </c>
      <c r="AB135" s="52">
        <f t="shared" si="66"/>
        <v>0.026863852799999997</v>
      </c>
      <c r="AC135" s="52">
        <f t="shared" si="67"/>
        <v>0.026863852799999997</v>
      </c>
      <c r="AD135" s="52">
        <f t="shared" si="101"/>
        <v>5.3728358936844662</v>
      </c>
      <c r="AE135" s="52">
        <f t="shared" si="102"/>
        <v>5.3728358936844662</v>
      </c>
    </row>
    <row r="136">
      <c r="B136" s="46">
        <v>1141</v>
      </c>
      <c r="C136" s="46">
        <v>2193444.0329999998</v>
      </c>
      <c r="D136" s="46">
        <v>6702022.6849999996</v>
      </c>
      <c r="E136" s="46">
        <v>72.069000000000003</v>
      </c>
      <c r="F136" s="46">
        <v>539</v>
      </c>
      <c r="G136" s="46">
        <v>149.77537531033798</v>
      </c>
      <c r="H136" s="46">
        <v>2.4700000000000002</v>
      </c>
      <c r="I136" s="46">
        <v>2.0203319999999998</v>
      </c>
      <c r="J136" s="46">
        <f t="shared" si="73"/>
        <v>-0.4496680000000004</v>
      </c>
      <c r="K136" s="46">
        <f t="shared" si="96"/>
        <v>0.4496680000000004</v>
      </c>
      <c r="L136" s="51">
        <f t="shared" si="51"/>
        <v>45.651534394591017</v>
      </c>
      <c r="M136" s="51">
        <f t="shared" si="52"/>
        <v>0.75285600000000008</v>
      </c>
      <c r="N136" s="51">
        <f t="shared" si="53"/>
        <v>0.61579719359999996</v>
      </c>
      <c r="O136" s="51">
        <f t="shared" si="54"/>
        <v>-0.13705880640000012</v>
      </c>
      <c r="P136" s="51">
        <f t="shared" si="55"/>
        <v>0.13705880640000012</v>
      </c>
      <c r="Q136" s="52">
        <f t="shared" si="97"/>
        <v>-18.205182186234833</v>
      </c>
      <c r="R136" s="52">
        <f t="shared" si="98"/>
        <v>18.205182186234833</v>
      </c>
      <c r="T136" s="46">
        <v>149.77537531033798</v>
      </c>
      <c r="U136" s="52">
        <v>1.8</v>
      </c>
      <c r="V136" s="52">
        <v>1.930836</v>
      </c>
      <c r="W136" s="52">
        <f t="shared" si="99"/>
        <v>0.13083599999999995</v>
      </c>
      <c r="X136" s="52">
        <f t="shared" si="100"/>
        <v>0.13083599999999995</v>
      </c>
      <c r="Y136" s="52">
        <f t="shared" si="63"/>
        <v>45.651534394591017</v>
      </c>
      <c r="Z136" s="52">
        <f t="shared" si="64"/>
        <v>0.54864000000000002</v>
      </c>
      <c r="AA136" s="52">
        <f t="shared" si="65"/>
        <v>0.58851881280000007</v>
      </c>
      <c r="AB136" s="52">
        <f t="shared" si="66"/>
        <v>0.039878812799999989</v>
      </c>
      <c r="AC136" s="52">
        <f t="shared" si="67"/>
        <v>0.039878812799999989</v>
      </c>
      <c r="AD136" s="52">
        <f t="shared" si="101"/>
        <v>7.2686666666666637</v>
      </c>
      <c r="AE136" s="52">
        <f t="shared" si="102"/>
        <v>7.2686666666666637</v>
      </c>
    </row>
    <row r="137">
      <c r="B137" s="46">
        <v>1142</v>
      </c>
      <c r="C137" s="46">
        <v>2193451.105</v>
      </c>
      <c r="D137" s="46">
        <v>6702014.9720000001</v>
      </c>
      <c r="E137" s="46">
        <v>71.994</v>
      </c>
      <c r="F137" s="46">
        <v>539</v>
      </c>
      <c r="G137" s="46">
        <v>139.31098077482326</v>
      </c>
      <c r="H137" s="46">
        <v>2.4900000000000002</v>
      </c>
      <c r="I137" s="46">
        <v>2.124657</v>
      </c>
      <c r="J137" s="46">
        <f t="shared" si="73"/>
        <v>-0.3653430000000002</v>
      </c>
      <c r="K137" s="46">
        <f t="shared" si="96"/>
        <v>0.3653430000000002</v>
      </c>
      <c r="L137" s="51">
        <f t="shared" ref="L137:L200" si="103">G137*0.3048</f>
        <v>42.461986940166135</v>
      </c>
      <c r="M137" s="51">
        <f t="shared" ref="M137:M200" si="104">H137*0.3048</f>
        <v>0.75895200000000007</v>
      </c>
      <c r="N137" s="51">
        <f t="shared" ref="N137:N200" si="105">I137*0.3048</f>
        <v>0.64759545360000004</v>
      </c>
      <c r="O137" s="51">
        <f t="shared" ref="O137:O200" si="106">J137*0.3048</f>
        <v>-0.11135654640000006</v>
      </c>
      <c r="P137" s="51">
        <f t="shared" ref="P137:P200" si="107">K137*0.3048</f>
        <v>0.11135654640000006</v>
      </c>
      <c r="Q137" s="52">
        <f t="shared" si="97"/>
        <v>-14.672409638554223</v>
      </c>
      <c r="R137" s="52">
        <f t="shared" si="98"/>
        <v>14.672409638554223</v>
      </c>
      <c r="T137" s="46">
        <v>139.31098077482326</v>
      </c>
      <c r="U137" s="52">
        <v>1.7060160000000002</v>
      </c>
      <c r="V137" s="52">
        <v>2.184402</v>
      </c>
      <c r="W137" s="52">
        <f t="shared" si="99"/>
        <v>0.47838599999999976</v>
      </c>
      <c r="X137" s="52">
        <f t="shared" si="100"/>
        <v>0.47838599999999976</v>
      </c>
      <c r="Y137" s="52">
        <f t="shared" si="63"/>
        <v>42.461986940166135</v>
      </c>
      <c r="Z137" s="52">
        <f t="shared" si="64"/>
        <v>0.51999367680000008</v>
      </c>
      <c r="AA137" s="52">
        <f t="shared" si="65"/>
        <v>0.66580572960000006</v>
      </c>
      <c r="AB137" s="52">
        <f t="shared" si="66"/>
        <v>0.14581205279999992</v>
      </c>
      <c r="AC137" s="52">
        <f t="shared" si="67"/>
        <v>0.14581205279999992</v>
      </c>
      <c r="AD137" s="52">
        <f t="shared" si="101"/>
        <v>28.041120364639003</v>
      </c>
      <c r="AE137" s="52">
        <f t="shared" si="102"/>
        <v>28.041120364639003</v>
      </c>
    </row>
    <row r="138">
      <c r="B138" s="46">
        <v>1143</v>
      </c>
      <c r="C138" s="46">
        <v>2193458.5699999998</v>
      </c>
      <c r="D138" s="46">
        <v>6702007.8389999997</v>
      </c>
      <c r="E138" s="46">
        <v>72.034000000000006</v>
      </c>
      <c r="F138" s="46">
        <v>539</v>
      </c>
      <c r="G138" s="46">
        <v>128.9859667795206</v>
      </c>
      <c r="H138" s="46">
        <v>2.3100000000000001</v>
      </c>
      <c r="I138" s="46">
        <v>2.0877059999999998</v>
      </c>
      <c r="J138" s="46">
        <f t="shared" si="73"/>
        <v>-0.22229400000000021</v>
      </c>
      <c r="K138" s="46">
        <f t="shared" si="96"/>
        <v>0.22229400000000021</v>
      </c>
      <c r="L138" s="51">
        <f t="shared" si="103"/>
        <v>39.314922674397877</v>
      </c>
      <c r="M138" s="51">
        <f t="shared" si="104"/>
        <v>0.70408800000000005</v>
      </c>
      <c r="N138" s="51">
        <f t="shared" si="105"/>
        <v>0.63633278879999999</v>
      </c>
      <c r="O138" s="51">
        <f t="shared" si="106"/>
        <v>-0.067755211200000068</v>
      </c>
      <c r="P138" s="51">
        <f t="shared" si="107"/>
        <v>0.067755211200000068</v>
      </c>
      <c r="Q138" s="52">
        <f t="shared" si="97"/>
        <v>-9.6231168831168912</v>
      </c>
      <c r="R138" s="52">
        <f t="shared" si="98"/>
        <v>9.6231168831168912</v>
      </c>
      <c r="T138" s="46">
        <v>128.9859667795206</v>
      </c>
      <c r="U138" s="52">
        <v>1.7</v>
      </c>
      <c r="V138" s="52">
        <v>2.0547430000000002</v>
      </c>
      <c r="W138" s="52">
        <f t="shared" si="99"/>
        <v>0.35474300000000025</v>
      </c>
      <c r="X138" s="52">
        <f t="shared" si="100"/>
        <v>0.35474300000000025</v>
      </c>
      <c r="Y138" s="52">
        <f t="shared" si="63"/>
        <v>39.314922674397877</v>
      </c>
      <c r="Z138" s="52">
        <f t="shared" si="64"/>
        <v>0.51816000000000006</v>
      </c>
      <c r="AA138" s="52">
        <f t="shared" si="65"/>
        <v>0.62628566640000005</v>
      </c>
      <c r="AB138" s="52">
        <f t="shared" si="66"/>
        <v>0.10812566640000008</v>
      </c>
      <c r="AC138" s="52">
        <f t="shared" si="67"/>
        <v>0.10812566640000008</v>
      </c>
      <c r="AD138" s="52">
        <f t="shared" si="101"/>
        <v>20.867235294117663</v>
      </c>
      <c r="AE138" s="52">
        <f t="shared" si="102"/>
        <v>20.867235294117663</v>
      </c>
    </row>
    <row r="139">
      <c r="B139" s="46">
        <v>1144</v>
      </c>
      <c r="C139" s="46">
        <v>2193465.699</v>
      </c>
      <c r="D139" s="46">
        <v>6702002.3669999996</v>
      </c>
      <c r="E139" s="46">
        <v>72.244</v>
      </c>
      <c r="F139" s="46">
        <v>539</v>
      </c>
      <c r="G139" s="46">
        <v>119.99900817254778</v>
      </c>
      <c r="H139" s="46">
        <v>2.5299999999999998</v>
      </c>
      <c r="I139" s="46">
        <v>1.9311860000000001</v>
      </c>
      <c r="J139" s="46">
        <f t="shared" si="73"/>
        <v>-0.59881399999999974</v>
      </c>
      <c r="K139" s="46">
        <f t="shared" si="96"/>
        <v>0.59881399999999974</v>
      </c>
      <c r="L139" s="51">
        <f t="shared" si="103"/>
        <v>36.575697690992563</v>
      </c>
      <c r="M139" s="51">
        <f t="shared" si="104"/>
        <v>0.77114399999999994</v>
      </c>
      <c r="N139" s="51">
        <f t="shared" si="105"/>
        <v>0.58862549280000009</v>
      </c>
      <c r="O139" s="51">
        <f t="shared" si="106"/>
        <v>-0.18251850719999993</v>
      </c>
      <c r="P139" s="51">
        <f t="shared" si="107"/>
        <v>0.18251850719999993</v>
      </c>
      <c r="Q139" s="52">
        <f t="shared" si="97"/>
        <v>-23.668537549407105</v>
      </c>
      <c r="R139" s="52">
        <f t="shared" si="98"/>
        <v>23.668537549407105</v>
      </c>
      <c r="T139" s="46">
        <v>119.99900817254778</v>
      </c>
      <c r="U139" s="52">
        <v>1.5091680000000001</v>
      </c>
      <c r="V139" s="52">
        <v>1.720305</v>
      </c>
      <c r="W139" s="52">
        <f t="shared" si="99"/>
        <v>0.21113699999999991</v>
      </c>
      <c r="X139" s="52">
        <f t="shared" si="100"/>
        <v>0.21113699999999991</v>
      </c>
      <c r="Y139" s="52">
        <f t="shared" si="63"/>
        <v>36.575697690992563</v>
      </c>
      <c r="Z139" s="52">
        <f t="shared" si="64"/>
        <v>0.45999440640000006</v>
      </c>
      <c r="AA139" s="52">
        <f t="shared" si="65"/>
        <v>0.52434896399999997</v>
      </c>
      <c r="AB139" s="52">
        <f t="shared" si="66"/>
        <v>0.064354557599999973</v>
      </c>
      <c r="AC139" s="52">
        <f t="shared" si="67"/>
        <v>0.064354557599999973</v>
      </c>
      <c r="AD139" s="52">
        <f t="shared" si="101"/>
        <v>13.990291339333984</v>
      </c>
      <c r="AE139" s="52">
        <f t="shared" si="102"/>
        <v>13.990291339333984</v>
      </c>
    </row>
    <row r="140">
      <c r="B140" s="46">
        <v>1145</v>
      </c>
      <c r="C140" s="46">
        <v>2193474.1919999998</v>
      </c>
      <c r="D140" s="46">
        <v>6701994.9749999996</v>
      </c>
      <c r="E140" s="46">
        <v>72.376000000000005</v>
      </c>
      <c r="F140" s="46">
        <v>539</v>
      </c>
      <c r="G140" s="46">
        <v>108.73966924895996</v>
      </c>
      <c r="H140" s="46">
        <v>1.9299999999999999</v>
      </c>
      <c r="I140" s="46">
        <v>1.81101</v>
      </c>
      <c r="J140" s="46">
        <f t="shared" ref="J140:J167" si="108">I140-H140</f>
        <v>-0.11898999999999993</v>
      </c>
      <c r="K140" s="46">
        <f t="shared" si="96"/>
        <v>0.11898999999999993</v>
      </c>
      <c r="L140" s="51">
        <f t="shared" si="103"/>
        <v>33.143851187082994</v>
      </c>
      <c r="M140" s="51">
        <f t="shared" si="104"/>
        <v>0.58826400000000001</v>
      </c>
      <c r="N140" s="51">
        <f t="shared" si="105"/>
        <v>0.55199584800000001</v>
      </c>
      <c r="O140" s="51">
        <f t="shared" si="106"/>
        <v>-0.036268151999999977</v>
      </c>
      <c r="P140" s="51">
        <f t="shared" si="107"/>
        <v>0.036268151999999977</v>
      </c>
      <c r="Q140" s="52">
        <f t="shared" si="97"/>
        <v>-6.1652849740932609</v>
      </c>
      <c r="R140" s="52">
        <f t="shared" si="98"/>
        <v>6.1652849740932609</v>
      </c>
      <c r="T140" s="46">
        <v>108.73966924895996</v>
      </c>
      <c r="U140" s="52">
        <v>1.3</v>
      </c>
      <c r="V140" s="52">
        <v>1.8256600000000001</v>
      </c>
      <c r="W140" s="52">
        <f t="shared" si="99"/>
        <v>0.52566000000000002</v>
      </c>
      <c r="X140" s="52">
        <f t="shared" si="100"/>
        <v>0.52566000000000002</v>
      </c>
      <c r="Y140" s="52">
        <f t="shared" si="63"/>
        <v>33.143851187082994</v>
      </c>
      <c r="Z140" s="52">
        <f t="shared" si="64"/>
        <v>0.39624000000000004</v>
      </c>
      <c r="AA140" s="52">
        <f t="shared" si="65"/>
        <v>0.55646116800000001</v>
      </c>
      <c r="AB140" s="52">
        <f t="shared" si="66"/>
        <v>0.16022116800000002</v>
      </c>
      <c r="AC140" s="52">
        <f t="shared" si="67"/>
        <v>0.16022116800000002</v>
      </c>
      <c r="AD140" s="52">
        <f t="shared" si="101"/>
        <v>40.435384615384613</v>
      </c>
      <c r="AE140" s="52">
        <f t="shared" si="102"/>
        <v>40.435384615384613</v>
      </c>
    </row>
    <row r="141">
      <c r="B141" s="46">
        <v>1146</v>
      </c>
      <c r="C141" s="46">
        <v>2193480.8730000001</v>
      </c>
      <c r="D141" s="46">
        <v>6701989.1830000002</v>
      </c>
      <c r="E141" s="46">
        <v>72.421000000000006</v>
      </c>
      <c r="F141" s="46">
        <v>539</v>
      </c>
      <c r="G141" s="46">
        <v>99.89755270381815</v>
      </c>
      <c r="H141" s="46">
        <v>2.1000000000000001</v>
      </c>
      <c r="I141" s="46">
        <v>1.7330719999999999</v>
      </c>
      <c r="J141" s="46">
        <f t="shared" si="108"/>
        <v>-0.36692800000000014</v>
      </c>
      <c r="K141" s="46">
        <f t="shared" si="96"/>
        <v>0.36692800000000014</v>
      </c>
      <c r="L141" s="51">
        <f t="shared" si="103"/>
        <v>30.448774064123775</v>
      </c>
      <c r="M141" s="51">
        <f t="shared" si="104"/>
        <v>0.64008000000000009</v>
      </c>
      <c r="N141" s="51">
        <f t="shared" si="105"/>
        <v>0.52824034559999999</v>
      </c>
      <c r="O141" s="51">
        <f t="shared" si="106"/>
        <v>-0.11183965440000004</v>
      </c>
      <c r="P141" s="51">
        <f t="shared" si="107"/>
        <v>0.11183965440000004</v>
      </c>
      <c r="Q141" s="52">
        <f t="shared" si="97"/>
        <v>-17.47276190476191</v>
      </c>
      <c r="R141" s="52">
        <f t="shared" si="98"/>
        <v>17.47276190476191</v>
      </c>
      <c r="T141" s="46">
        <v>99.89755270381815</v>
      </c>
      <c r="U141" s="52">
        <v>1.3123200000000002</v>
      </c>
      <c r="V141" s="52">
        <v>1.6722760000000001</v>
      </c>
      <c r="W141" s="52">
        <f t="shared" si="99"/>
        <v>0.35995599999999994</v>
      </c>
      <c r="X141" s="52">
        <f t="shared" si="100"/>
        <v>0.35995599999999994</v>
      </c>
      <c r="Y141" s="52">
        <f t="shared" ref="Y141:Y204" si="109">T141*0.3048</f>
        <v>30.448774064123775</v>
      </c>
      <c r="Z141" s="52">
        <f t="shared" ref="Z141:Z204" si="110">U141*0.3048</f>
        <v>0.39999513600000008</v>
      </c>
      <c r="AA141" s="52">
        <f t="shared" ref="AA141:AA204" si="111">V141*0.3048</f>
        <v>0.5097097248000001</v>
      </c>
      <c r="AB141" s="52">
        <f t="shared" ref="AB141:AB204" si="112">W141*0.3048</f>
        <v>0.10971458879999998</v>
      </c>
      <c r="AC141" s="52">
        <f t="shared" ref="AC141:AC204" si="113">X141*0.3048</f>
        <v>0.10971458879999998</v>
      </c>
      <c r="AD141" s="52">
        <f t="shared" si="101"/>
        <v>27.428980736405748</v>
      </c>
      <c r="AE141" s="52">
        <f t="shared" si="102"/>
        <v>27.428980736405748</v>
      </c>
    </row>
    <row r="142">
      <c r="B142" s="46">
        <v>1147</v>
      </c>
      <c r="C142" s="46">
        <v>2193489.2289999998</v>
      </c>
      <c r="D142" s="46">
        <v>6701982.5109999999</v>
      </c>
      <c r="E142" s="46">
        <v>72.515000000000001</v>
      </c>
      <c r="F142" s="46">
        <v>539</v>
      </c>
      <c r="G142" s="46">
        <v>89.204642903486615</v>
      </c>
      <c r="H142" s="46">
        <v>1.8700000000000001</v>
      </c>
      <c r="I142" s="46">
        <v>1.6887430000000001</v>
      </c>
      <c r="J142" s="46">
        <f t="shared" si="108"/>
        <v>-0.181257</v>
      </c>
      <c r="K142" s="46">
        <f t="shared" si="96"/>
        <v>0.181257</v>
      </c>
      <c r="L142" s="51">
        <f t="shared" si="103"/>
        <v>27.189575156982723</v>
      </c>
      <c r="M142" s="51">
        <f t="shared" si="104"/>
        <v>0.56997600000000004</v>
      </c>
      <c r="N142" s="51">
        <f t="shared" si="105"/>
        <v>0.51472886640000004</v>
      </c>
      <c r="O142" s="51">
        <f t="shared" si="106"/>
        <v>-0.055247133600000005</v>
      </c>
      <c r="P142" s="51">
        <f t="shared" si="107"/>
        <v>0.055247133600000005</v>
      </c>
      <c r="Q142" s="52">
        <f t="shared" si="97"/>
        <v>-9.6928877005347598</v>
      </c>
      <c r="R142" s="52">
        <f t="shared" si="98"/>
        <v>9.6928877005347598</v>
      </c>
      <c r="T142" s="46">
        <v>89.204642903486615</v>
      </c>
      <c r="U142" s="52">
        <v>1.3999999999999999</v>
      </c>
      <c r="V142" s="52">
        <v>1.6462319999999999</v>
      </c>
      <c r="W142" s="52">
        <f t="shared" si="99"/>
        <v>0.24623200000000001</v>
      </c>
      <c r="X142" s="52">
        <f t="shared" si="100"/>
        <v>0.24623200000000001</v>
      </c>
      <c r="Y142" s="52">
        <f t="shared" si="109"/>
        <v>27.189575156982723</v>
      </c>
      <c r="Z142" s="52">
        <f t="shared" si="110"/>
        <v>0.42671999999999999</v>
      </c>
      <c r="AA142" s="52">
        <f t="shared" si="111"/>
        <v>0.50177151360000005</v>
      </c>
      <c r="AB142" s="52">
        <f t="shared" si="112"/>
        <v>0.075051513600000008</v>
      </c>
      <c r="AC142" s="52">
        <f t="shared" si="113"/>
        <v>0.075051513600000008</v>
      </c>
      <c r="AD142" s="52">
        <f t="shared" si="101"/>
        <v>17.588000000000001</v>
      </c>
      <c r="AE142" s="52">
        <f t="shared" si="102"/>
        <v>17.588000000000001</v>
      </c>
    </row>
    <row r="143">
      <c r="B143" s="46">
        <v>1148</v>
      </c>
      <c r="C143" s="46">
        <v>2193495.8459999999</v>
      </c>
      <c r="D143" s="46">
        <v>6701976.9189999998</v>
      </c>
      <c r="E143" s="46">
        <v>72.408000000000001</v>
      </c>
      <c r="F143" s="46">
        <v>539</v>
      </c>
      <c r="G143" s="46">
        <v>80.541205190711509</v>
      </c>
      <c r="H143" s="46">
        <v>1.97</v>
      </c>
      <c r="I143" s="46">
        <v>1.6887669999999999</v>
      </c>
      <c r="J143" s="46">
        <f t="shared" si="108"/>
        <v>-0.28123300000000007</v>
      </c>
      <c r="K143" s="46">
        <f t="shared" si="96"/>
        <v>0.28123300000000007</v>
      </c>
      <c r="L143" s="51">
        <f t="shared" si="103"/>
        <v>24.548959342128867</v>
      </c>
      <c r="M143" s="51">
        <f t="shared" si="104"/>
        <v>0.60045599999999999</v>
      </c>
      <c r="N143" s="51">
        <f t="shared" si="105"/>
        <v>0.51473618160000001</v>
      </c>
      <c r="O143" s="51">
        <f t="shared" si="106"/>
        <v>-0.085719818400000022</v>
      </c>
      <c r="P143" s="51">
        <f t="shared" si="107"/>
        <v>0.085719818400000022</v>
      </c>
      <c r="Q143" s="52">
        <f t="shared" si="97"/>
        <v>-14.275786802030462</v>
      </c>
      <c r="R143" s="52">
        <f t="shared" si="98"/>
        <v>14.275786802030462</v>
      </c>
      <c r="T143" s="46">
        <v>80.541205190711509</v>
      </c>
      <c r="U143" s="52">
        <v>1.410744</v>
      </c>
      <c r="V143" s="52">
        <v>1.9555199999999999</v>
      </c>
      <c r="W143" s="52">
        <f t="shared" si="99"/>
        <v>0.54477599999999993</v>
      </c>
      <c r="X143" s="52">
        <f t="shared" si="100"/>
        <v>0.54477599999999993</v>
      </c>
      <c r="Y143" s="52">
        <f t="shared" si="109"/>
        <v>24.548959342128867</v>
      </c>
      <c r="Z143" s="52">
        <f t="shared" si="110"/>
        <v>0.42999477120000001</v>
      </c>
      <c r="AA143" s="52">
        <f t="shared" si="111"/>
        <v>0.59604249600000003</v>
      </c>
      <c r="AB143" s="52">
        <f t="shared" si="112"/>
        <v>0.16604772479999999</v>
      </c>
      <c r="AC143" s="52">
        <f t="shared" si="113"/>
        <v>0.16604772479999999</v>
      </c>
      <c r="AD143" s="52">
        <f t="shared" si="101"/>
        <v>38.616219526717813</v>
      </c>
      <c r="AE143" s="52">
        <f t="shared" si="102"/>
        <v>38.616219526717813</v>
      </c>
    </row>
    <row r="144">
      <c r="B144" s="46">
        <v>1149</v>
      </c>
      <c r="C144" s="46">
        <v>2193503.031</v>
      </c>
      <c r="D144" s="46">
        <v>6701969.7810000004</v>
      </c>
      <c r="E144" s="46">
        <v>72.352999999999994</v>
      </c>
      <c r="F144" s="46">
        <v>539</v>
      </c>
      <c r="G144" s="46">
        <v>70.413260236707444</v>
      </c>
      <c r="H144" s="46">
        <v>1.9299999999999999</v>
      </c>
      <c r="I144" s="46">
        <v>1.591674</v>
      </c>
      <c r="J144" s="46">
        <f t="shared" si="108"/>
        <v>-0.3383259999999999</v>
      </c>
      <c r="K144" s="46">
        <f t="shared" si="96"/>
        <v>0.3383259999999999</v>
      </c>
      <c r="L144" s="51">
        <f t="shared" si="103"/>
        <v>21.46196172014843</v>
      </c>
      <c r="M144" s="51">
        <f t="shared" si="104"/>
        <v>0.58826400000000001</v>
      </c>
      <c r="N144" s="51">
        <f t="shared" si="105"/>
        <v>0.48514223520000005</v>
      </c>
      <c r="O144" s="51">
        <f t="shared" si="106"/>
        <v>-0.10312176479999997</v>
      </c>
      <c r="P144" s="51">
        <f t="shared" si="107"/>
        <v>0.10312176479999997</v>
      </c>
      <c r="Q144" s="52">
        <f t="shared" si="97"/>
        <v>-17.529844559585488</v>
      </c>
      <c r="R144" s="52">
        <f t="shared" si="98"/>
        <v>17.529844559585488</v>
      </c>
      <c r="T144" s="46">
        <v>70.413260236707444</v>
      </c>
      <c r="U144" s="52">
        <v>1.5</v>
      </c>
      <c r="V144" s="52">
        <v>1.7723580000000001</v>
      </c>
      <c r="W144" s="52">
        <f t="shared" si="99"/>
        <v>0.2723580000000001</v>
      </c>
      <c r="X144" s="52">
        <f t="shared" si="100"/>
        <v>0.2723580000000001</v>
      </c>
      <c r="Y144" s="52">
        <f t="shared" si="109"/>
        <v>21.46196172014843</v>
      </c>
      <c r="Z144" s="52">
        <f t="shared" si="110"/>
        <v>0.45720000000000005</v>
      </c>
      <c r="AA144" s="52">
        <f t="shared" si="111"/>
        <v>0.54021471840000002</v>
      </c>
      <c r="AB144" s="52">
        <f t="shared" si="112"/>
        <v>0.083014718400000034</v>
      </c>
      <c r="AC144" s="52">
        <f t="shared" si="113"/>
        <v>0.083014718400000034</v>
      </c>
      <c r="AD144" s="52">
        <f t="shared" si="101"/>
        <v>18.157200000000007</v>
      </c>
      <c r="AE144" s="52">
        <f t="shared" si="102"/>
        <v>18.157200000000007</v>
      </c>
    </row>
    <row r="145">
      <c r="B145" s="46">
        <v>1150</v>
      </c>
      <c r="C145" s="46">
        <v>2193510.1510000001</v>
      </c>
      <c r="D145" s="46">
        <v>6701963.7180000003</v>
      </c>
      <c r="E145" s="46">
        <v>72.260999999999996</v>
      </c>
      <c r="F145" s="46">
        <v>539</v>
      </c>
      <c r="G145" s="46">
        <v>61.061556167256512</v>
      </c>
      <c r="H145" s="46">
        <v>1.8999999999999999</v>
      </c>
      <c r="I145" s="46">
        <v>1.534359</v>
      </c>
      <c r="J145" s="46">
        <f t="shared" si="108"/>
        <v>-0.36564099999999988</v>
      </c>
      <c r="K145" s="46">
        <f t="shared" si="96"/>
        <v>0.36564099999999988</v>
      </c>
      <c r="L145" s="51">
        <f t="shared" si="103"/>
        <v>18.611562319779786</v>
      </c>
      <c r="M145" s="51">
        <f t="shared" si="104"/>
        <v>0.57911999999999997</v>
      </c>
      <c r="N145" s="51">
        <f t="shared" si="105"/>
        <v>0.46767262320000003</v>
      </c>
      <c r="O145" s="51">
        <f t="shared" si="106"/>
        <v>-0.11144737679999997</v>
      </c>
      <c r="P145" s="51">
        <f t="shared" si="107"/>
        <v>0.11144737679999997</v>
      </c>
      <c r="Q145" s="52">
        <f t="shared" si="97"/>
        <v>-19.244263157894732</v>
      </c>
      <c r="R145" s="52">
        <f t="shared" si="98"/>
        <v>19.244263157894732</v>
      </c>
      <c r="T145" s="46">
        <v>61.061556167256512</v>
      </c>
      <c r="U145" s="52">
        <v>1.410744</v>
      </c>
      <c r="V145" s="52">
        <v>1.923908</v>
      </c>
      <c r="W145" s="52">
        <f t="shared" si="99"/>
        <v>0.51316399999999995</v>
      </c>
      <c r="X145" s="52">
        <f t="shared" si="100"/>
        <v>0.51316399999999995</v>
      </c>
      <c r="Y145" s="52">
        <f t="shared" si="109"/>
        <v>18.611562319779786</v>
      </c>
      <c r="Z145" s="52">
        <f t="shared" si="110"/>
        <v>0.42999477120000001</v>
      </c>
      <c r="AA145" s="52">
        <f t="shared" si="111"/>
        <v>0.58640715840000002</v>
      </c>
      <c r="AB145" s="52">
        <f t="shared" si="112"/>
        <v>0.1564123872</v>
      </c>
      <c r="AC145" s="52">
        <f t="shared" si="113"/>
        <v>0.1564123872</v>
      </c>
      <c r="AD145" s="52">
        <f t="shared" si="101"/>
        <v>36.375416092501538</v>
      </c>
      <c r="AE145" s="52">
        <f t="shared" si="102"/>
        <v>36.375416092501538</v>
      </c>
    </row>
    <row r="146">
      <c r="B146" s="46">
        <v>1151</v>
      </c>
      <c r="C146" s="46">
        <v>2193516.4389999998</v>
      </c>
      <c r="D146" s="46">
        <v>6701955.4639999997</v>
      </c>
      <c r="E146" s="46">
        <v>72.215999999999994</v>
      </c>
      <c r="F146" s="46">
        <v>539</v>
      </c>
      <c r="G146" s="46">
        <v>50.685262994491524</v>
      </c>
      <c r="H146" s="46">
        <v>1.8700000000000001</v>
      </c>
      <c r="I146" s="46">
        <v>1.5028919999999999</v>
      </c>
      <c r="J146" s="46">
        <f t="shared" si="108"/>
        <v>-0.36710800000000021</v>
      </c>
      <c r="K146" s="46">
        <f t="shared" si="96"/>
        <v>0.36710800000000021</v>
      </c>
      <c r="L146" s="51">
        <f t="shared" si="103"/>
        <v>15.448868160721018</v>
      </c>
      <c r="M146" s="51">
        <f t="shared" si="104"/>
        <v>0.56997600000000004</v>
      </c>
      <c r="N146" s="51">
        <f t="shared" si="105"/>
        <v>0.45808148160000001</v>
      </c>
      <c r="O146" s="51">
        <f t="shared" si="106"/>
        <v>-0.11189451840000007</v>
      </c>
      <c r="P146" s="51">
        <f t="shared" si="107"/>
        <v>0.11189451840000007</v>
      </c>
      <c r="Q146" s="52">
        <f t="shared" si="97"/>
        <v>-19.631443850267388</v>
      </c>
      <c r="R146" s="52">
        <f t="shared" si="98"/>
        <v>19.631443850267388</v>
      </c>
      <c r="T146" s="46">
        <v>50.685262994491524</v>
      </c>
      <c r="U146" s="52">
        <v>1.5</v>
      </c>
      <c r="V146" s="52">
        <v>1.5918049999999999</v>
      </c>
      <c r="W146" s="52">
        <f t="shared" si="99"/>
        <v>0.091804999999999914</v>
      </c>
      <c r="X146" s="52">
        <f t="shared" si="100"/>
        <v>0.091804999999999914</v>
      </c>
      <c r="Y146" s="52">
        <f t="shared" si="109"/>
        <v>15.448868160721018</v>
      </c>
      <c r="Z146" s="52">
        <f t="shared" si="110"/>
        <v>0.45720000000000005</v>
      </c>
      <c r="AA146" s="52">
        <f t="shared" si="111"/>
        <v>0.48518216399999997</v>
      </c>
      <c r="AB146" s="52">
        <f t="shared" si="112"/>
        <v>0.027982163999999976</v>
      </c>
      <c r="AC146" s="52">
        <f t="shared" si="113"/>
        <v>0.027982163999999976</v>
      </c>
      <c r="AD146" s="52">
        <f t="shared" si="101"/>
        <v>6.1203333333333276</v>
      </c>
      <c r="AE146" s="52">
        <f t="shared" si="102"/>
        <v>6.1203333333333276</v>
      </c>
    </row>
    <row r="147">
      <c r="B147" s="46">
        <v>1152</v>
      </c>
      <c r="C147" s="46">
        <v>2193522.736</v>
      </c>
      <c r="D147" s="46">
        <v>6701949.3310000002</v>
      </c>
      <c r="E147" s="46">
        <v>72.082999999999998</v>
      </c>
      <c r="F147" s="46">
        <v>539</v>
      </c>
      <c r="G147" s="46">
        <v>41.895160719976879</v>
      </c>
      <c r="H147" s="46">
        <v>1.6699999999999999</v>
      </c>
      <c r="I147" s="46">
        <v>1.4580519999999999</v>
      </c>
      <c r="J147" s="46">
        <f t="shared" si="108"/>
        <v>-0.21194800000000003</v>
      </c>
      <c r="K147" s="46">
        <f t="shared" si="96"/>
        <v>0.21194800000000003</v>
      </c>
      <c r="L147" s="51">
        <f t="shared" si="103"/>
        <v>12.769644987448954</v>
      </c>
      <c r="M147" s="51">
        <f t="shared" si="104"/>
        <v>0.50901600000000002</v>
      </c>
      <c r="N147" s="51">
        <f t="shared" si="105"/>
        <v>0.44441424959999998</v>
      </c>
      <c r="O147" s="51">
        <f t="shared" si="106"/>
        <v>-0.064601750400000005</v>
      </c>
      <c r="P147" s="51">
        <f t="shared" si="107"/>
        <v>0.064601750400000005</v>
      </c>
      <c r="Q147" s="52">
        <f t="shared" si="97"/>
        <v>-12.691497005988024</v>
      </c>
      <c r="R147" s="52">
        <f t="shared" si="98"/>
        <v>12.691497005988024</v>
      </c>
      <c r="T147" s="46">
        <v>41.895160719976879</v>
      </c>
      <c r="U147" s="52">
        <v>1.6075920000000001</v>
      </c>
      <c r="V147" s="52">
        <v>1.3912629999999999</v>
      </c>
      <c r="W147" s="52">
        <f t="shared" si="99"/>
        <v>-0.21632900000000022</v>
      </c>
      <c r="X147" s="52">
        <f t="shared" si="100"/>
        <v>0.21632900000000022</v>
      </c>
      <c r="Y147" s="52">
        <f t="shared" si="109"/>
        <v>12.769644987448954</v>
      </c>
      <c r="Z147" s="52">
        <f t="shared" si="110"/>
        <v>0.48999404160000004</v>
      </c>
      <c r="AA147" s="52">
        <f t="shared" si="111"/>
        <v>0.42405696240000001</v>
      </c>
      <c r="AB147" s="52">
        <f t="shared" si="112"/>
        <v>-0.065937079200000068</v>
      </c>
      <c r="AC147" s="52">
        <f t="shared" si="113"/>
        <v>0.065937079200000068</v>
      </c>
      <c r="AD147" s="52">
        <f t="shared" si="101"/>
        <v>-13.456710409108791</v>
      </c>
      <c r="AE147" s="52">
        <f t="shared" si="102"/>
        <v>13.456710409108791</v>
      </c>
    </row>
    <row r="148">
      <c r="B148" s="46">
        <v>1153</v>
      </c>
      <c r="C148" s="46">
        <v>2193529.2930000001</v>
      </c>
      <c r="D148" s="46">
        <v>6701941.6169999996</v>
      </c>
      <c r="E148" s="46">
        <v>72.278000000000006</v>
      </c>
      <c r="F148" s="46">
        <v>539</v>
      </c>
      <c r="G148" s="46">
        <v>31.770930131436756</v>
      </c>
      <c r="H148" s="46">
        <v>1.71</v>
      </c>
      <c r="I148" s="46">
        <v>1.2982229999999999</v>
      </c>
      <c r="J148" s="46">
        <f t="shared" si="108"/>
        <v>-0.41177700000000006</v>
      </c>
      <c r="K148" s="46">
        <f t="shared" si="96"/>
        <v>0.41177700000000006</v>
      </c>
      <c r="L148" s="51">
        <f t="shared" si="103"/>
        <v>9.6837795040619241</v>
      </c>
      <c r="M148" s="51">
        <f t="shared" si="104"/>
        <v>0.521208</v>
      </c>
      <c r="N148" s="51">
        <f t="shared" si="105"/>
        <v>0.3956983704</v>
      </c>
      <c r="O148" s="51">
        <f t="shared" si="106"/>
        <v>-0.12550962960000003</v>
      </c>
      <c r="P148" s="51">
        <f t="shared" si="107"/>
        <v>0.12550962960000003</v>
      </c>
      <c r="Q148" s="52">
        <f t="shared" si="97"/>
        <v>-24.080526315789481</v>
      </c>
      <c r="R148" s="52">
        <f t="shared" si="98"/>
        <v>24.080526315789481</v>
      </c>
      <c r="T148" s="46">
        <v>31.770930131436756</v>
      </c>
      <c r="U148" s="52">
        <v>1.3</v>
      </c>
      <c r="V148" s="52">
        <v>1.902938</v>
      </c>
      <c r="W148" s="52">
        <f t="shared" si="99"/>
        <v>0.60293799999999997</v>
      </c>
      <c r="X148" s="52">
        <f t="shared" si="100"/>
        <v>0.60293799999999997</v>
      </c>
      <c r="Y148" s="52">
        <f t="shared" si="109"/>
        <v>9.6837795040619241</v>
      </c>
      <c r="Z148" s="52">
        <f t="shared" si="110"/>
        <v>0.39624000000000004</v>
      </c>
      <c r="AA148" s="52">
        <f t="shared" si="111"/>
        <v>0.58001550239999999</v>
      </c>
      <c r="AB148" s="52">
        <f t="shared" si="112"/>
        <v>0.18377550240000001</v>
      </c>
      <c r="AC148" s="52">
        <f t="shared" si="113"/>
        <v>0.18377550240000001</v>
      </c>
      <c r="AD148" s="52">
        <f t="shared" si="101"/>
        <v>46.379846153846152</v>
      </c>
      <c r="AE148" s="52">
        <f t="shared" si="102"/>
        <v>46.379846153846152</v>
      </c>
    </row>
    <row r="149">
      <c r="B149" s="46">
        <v>1154</v>
      </c>
      <c r="C149" s="46">
        <v>2193536.8960000002</v>
      </c>
      <c r="D149" s="46">
        <v>6701935.3650000002</v>
      </c>
      <c r="E149" s="46">
        <v>72.548000000000002</v>
      </c>
      <c r="F149" s="46">
        <v>539</v>
      </c>
      <c r="G149" s="46">
        <v>21.927500190899437</v>
      </c>
      <c r="H149" s="46">
        <v>1.22</v>
      </c>
      <c r="I149" s="46">
        <v>1.0854299999999999</v>
      </c>
      <c r="J149" s="46">
        <f t="shared" si="108"/>
        <v>-0.13457000000000008</v>
      </c>
      <c r="K149" s="46">
        <f t="shared" si="96"/>
        <v>0.13457000000000008</v>
      </c>
      <c r="L149" s="51">
        <f t="shared" si="103"/>
        <v>6.6835020581861491</v>
      </c>
      <c r="M149" s="51">
        <f t="shared" si="104"/>
        <v>0.37185600000000002</v>
      </c>
      <c r="N149" s="51">
        <f t="shared" si="105"/>
        <v>0.33083906399999996</v>
      </c>
      <c r="O149" s="51">
        <f t="shared" si="106"/>
        <v>-0.041016936000000025</v>
      </c>
      <c r="P149" s="51">
        <f t="shared" si="107"/>
        <v>0.041016936000000025</v>
      </c>
      <c r="Q149" s="52">
        <f t="shared" si="97"/>
        <v>-11.030327868852465</v>
      </c>
      <c r="R149" s="52">
        <f t="shared" si="98"/>
        <v>11.030327868852465</v>
      </c>
      <c r="T149" s="46">
        <v>21.927500190899437</v>
      </c>
      <c r="U149" s="52">
        <v>1.2</v>
      </c>
      <c r="V149" s="52">
        <v>1.6155949999999999</v>
      </c>
      <c r="W149" s="52">
        <f t="shared" si="99"/>
        <v>0.41559499999999994</v>
      </c>
      <c r="X149" s="52">
        <f t="shared" si="100"/>
        <v>0.41559499999999994</v>
      </c>
      <c r="Y149" s="52">
        <f t="shared" si="109"/>
        <v>6.6835020581861491</v>
      </c>
      <c r="Z149" s="52">
        <f t="shared" si="110"/>
        <v>0.36576000000000003</v>
      </c>
      <c r="AA149" s="52">
        <f t="shared" si="111"/>
        <v>0.49243335599999999</v>
      </c>
      <c r="AB149" s="52">
        <f t="shared" si="112"/>
        <v>0.12667335599999999</v>
      </c>
      <c r="AC149" s="52">
        <f t="shared" si="113"/>
        <v>0.12667335599999999</v>
      </c>
      <c r="AD149" s="52">
        <f t="shared" si="101"/>
        <v>34.632916666666659</v>
      </c>
      <c r="AE149" s="52">
        <f t="shared" si="102"/>
        <v>34.632916666666659</v>
      </c>
    </row>
    <row r="150" s="72" customFormat="1">
      <c r="A150" s="75" t="s">
        <v>95</v>
      </c>
      <c r="B150" s="72">
        <v>1157</v>
      </c>
      <c r="C150" s="72">
        <v>2193889.5109999999</v>
      </c>
      <c r="D150" s="72">
        <v>6702392.1710000001</v>
      </c>
      <c r="E150" s="72">
        <v>73.122</v>
      </c>
      <c r="F150" s="72">
        <v>539</v>
      </c>
      <c r="G150" s="72">
        <v>16.383482427042019</v>
      </c>
      <c r="H150" s="72">
        <v>0.72999999999999998</v>
      </c>
      <c r="I150" s="72">
        <v>0.74654299999999996</v>
      </c>
      <c r="J150" s="72">
        <f t="shared" si="108"/>
        <v>0.016542999999999974</v>
      </c>
      <c r="K150" s="72">
        <f t="shared" ref="K150:K157" si="114">ABS(J150)</f>
        <v>0.016542999999999974</v>
      </c>
      <c r="L150" s="73">
        <f t="shared" si="103"/>
        <v>4.9936854437624074</v>
      </c>
      <c r="M150" s="73">
        <f t="shared" si="104"/>
        <v>0.22250400000000001</v>
      </c>
      <c r="N150" s="73">
        <f t="shared" si="105"/>
        <v>0.22754630640000001</v>
      </c>
      <c r="O150" s="73">
        <f t="shared" si="106"/>
        <v>0.0050423063999999922</v>
      </c>
      <c r="P150" s="73">
        <f t="shared" si="107"/>
        <v>0.0050423063999999922</v>
      </c>
      <c r="Q150" s="74">
        <f t="shared" ref="Q150:Q157" si="115">100*J150/H150</f>
        <v>2.2661643835616405</v>
      </c>
      <c r="R150" s="74">
        <f t="shared" ref="R150:R157" si="116">ABS(Q150)</f>
        <v>2.2661643835616405</v>
      </c>
      <c r="T150" s="72">
        <v>16.383482427042019</v>
      </c>
      <c r="U150" s="74">
        <v>1</v>
      </c>
      <c r="V150" s="74">
        <v>0.88623700000000005</v>
      </c>
      <c r="W150" s="74">
        <f t="shared" ref="W150:W157" si="117">V150-U150</f>
        <v>-0.11376299999999995</v>
      </c>
      <c r="X150" s="74">
        <f t="shared" ref="X150:X157" si="118">ABS(W150)</f>
        <v>0.11376299999999995</v>
      </c>
      <c r="Y150" s="74">
        <f t="shared" si="109"/>
        <v>4.9936854437624074</v>
      </c>
      <c r="Z150" s="74">
        <f t="shared" si="110"/>
        <v>0.30480000000000002</v>
      </c>
      <c r="AA150" s="74">
        <f t="shared" si="111"/>
        <v>0.27012503760000001</v>
      </c>
      <c r="AB150" s="74">
        <f t="shared" si="112"/>
        <v>-0.034674962399999988</v>
      </c>
      <c r="AC150" s="74">
        <f t="shared" si="113"/>
        <v>0.034674962399999988</v>
      </c>
      <c r="AD150" s="74">
        <f t="shared" ref="AD150:AD157" si="119">100*W150/U150</f>
        <v>-11.376299999999995</v>
      </c>
      <c r="AE150" s="74">
        <f t="shared" ref="AE150:AE157" si="120">ABS(AD150)</f>
        <v>11.376299999999995</v>
      </c>
    </row>
    <row r="151">
      <c r="B151" s="46">
        <v>1158</v>
      </c>
      <c r="C151" s="46">
        <v>2193882.4559999998</v>
      </c>
      <c r="D151" s="46">
        <v>6702397.4819999998</v>
      </c>
      <c r="E151" s="46">
        <v>72.465999999999994</v>
      </c>
      <c r="F151" s="46">
        <v>539</v>
      </c>
      <c r="G151" s="46">
        <v>25.21409656195663</v>
      </c>
      <c r="H151" s="46">
        <v>0.81999999999999995</v>
      </c>
      <c r="I151" s="46">
        <v>0.88662099999999999</v>
      </c>
      <c r="J151" s="46">
        <f t="shared" si="108"/>
        <v>0.066621000000000041</v>
      </c>
      <c r="K151" s="46">
        <f t="shared" si="114"/>
        <v>0.066621000000000041</v>
      </c>
      <c r="L151" s="51">
        <f t="shared" si="103"/>
        <v>7.6852566320843811</v>
      </c>
      <c r="M151" s="51">
        <f t="shared" si="104"/>
        <v>0.24993599999999999</v>
      </c>
      <c r="N151" s="51">
        <f t="shared" si="105"/>
        <v>0.27024208080000001</v>
      </c>
      <c r="O151" s="51">
        <f t="shared" si="106"/>
        <v>0.020306080800000015</v>
      </c>
      <c r="P151" s="51">
        <f t="shared" si="107"/>
        <v>0.020306080800000015</v>
      </c>
      <c r="Q151" s="52">
        <f t="shared" si="115"/>
        <v>8.124512195121957</v>
      </c>
      <c r="R151" s="52">
        <f t="shared" si="116"/>
        <v>8.124512195121957</v>
      </c>
      <c r="T151" s="46">
        <v>25.21409656195663</v>
      </c>
      <c r="U151" s="52">
        <v>1.6075920000000001</v>
      </c>
      <c r="V151" s="52">
        <v>1.2297480000000001</v>
      </c>
      <c r="W151" s="52">
        <f t="shared" si="117"/>
        <v>-0.37784400000000007</v>
      </c>
      <c r="X151" s="52">
        <f t="shared" si="118"/>
        <v>0.37784400000000007</v>
      </c>
      <c r="Y151" s="52">
        <f t="shared" si="109"/>
        <v>7.6852566320843811</v>
      </c>
      <c r="Z151" s="52">
        <f t="shared" si="110"/>
        <v>0.48999404160000004</v>
      </c>
      <c r="AA151" s="52">
        <f t="shared" si="111"/>
        <v>0.37482719040000007</v>
      </c>
      <c r="AB151" s="52">
        <f t="shared" si="112"/>
        <v>-0.11516685120000003</v>
      </c>
      <c r="AC151" s="52">
        <f t="shared" si="113"/>
        <v>0.11516685120000003</v>
      </c>
      <c r="AD151" s="52">
        <f t="shared" si="119"/>
        <v>-23.503724825702044</v>
      </c>
      <c r="AE151" s="52">
        <f t="shared" si="120"/>
        <v>23.503724825702044</v>
      </c>
    </row>
    <row r="152">
      <c r="B152" s="46">
        <v>1159</v>
      </c>
      <c r="C152" s="46">
        <v>2193875.298</v>
      </c>
      <c r="D152" s="46">
        <v>6702403.2850000001</v>
      </c>
      <c r="E152" s="46">
        <v>72.105000000000004</v>
      </c>
      <c r="F152" s="46">
        <v>539</v>
      </c>
      <c r="G152" s="46">
        <v>34.428854996174287</v>
      </c>
      <c r="H152" s="46">
        <v>0.78000000000000003</v>
      </c>
      <c r="I152" s="46">
        <v>0.99212400000000001</v>
      </c>
      <c r="J152" s="46">
        <f t="shared" si="108"/>
        <v>0.21212399999999998</v>
      </c>
      <c r="K152" s="46">
        <f t="shared" si="114"/>
        <v>0.21212399999999998</v>
      </c>
      <c r="L152" s="51">
        <f t="shared" si="103"/>
        <v>10.493915002833923</v>
      </c>
      <c r="M152" s="51">
        <f t="shared" si="104"/>
        <v>0.23774400000000001</v>
      </c>
      <c r="N152" s="51">
        <f t="shared" si="105"/>
        <v>0.30239939520000003</v>
      </c>
      <c r="O152" s="51">
        <f t="shared" si="106"/>
        <v>0.064655395199999993</v>
      </c>
      <c r="P152" s="51">
        <f t="shared" si="107"/>
        <v>0.064655395199999993</v>
      </c>
      <c r="Q152" s="52">
        <f t="shared" si="115"/>
        <v>27.195384615384611</v>
      </c>
      <c r="R152" s="52">
        <f t="shared" si="116"/>
        <v>27.195384615384611</v>
      </c>
      <c r="T152" s="46">
        <v>34.428854996174287</v>
      </c>
      <c r="U152" s="52">
        <v>2</v>
      </c>
      <c r="V152" s="52">
        <v>1.700299</v>
      </c>
      <c r="W152" s="52">
        <f t="shared" si="117"/>
        <v>-0.299701</v>
      </c>
      <c r="X152" s="52">
        <f t="shared" si="118"/>
        <v>0.299701</v>
      </c>
      <c r="Y152" s="52">
        <f t="shared" si="109"/>
        <v>10.493915002833923</v>
      </c>
      <c r="Z152" s="52">
        <f t="shared" si="110"/>
        <v>0.60960000000000003</v>
      </c>
      <c r="AA152" s="52">
        <f t="shared" si="111"/>
        <v>0.51825113519999999</v>
      </c>
      <c r="AB152" s="52">
        <f t="shared" si="112"/>
        <v>-0.091348864799999999</v>
      </c>
      <c r="AC152" s="52">
        <f t="shared" si="113"/>
        <v>0.091348864799999999</v>
      </c>
      <c r="AD152" s="52">
        <f t="shared" si="119"/>
        <v>-14.985049999999999</v>
      </c>
      <c r="AE152" s="52">
        <f t="shared" si="120"/>
        <v>14.985049999999999</v>
      </c>
    </row>
    <row r="153">
      <c r="B153" s="46">
        <v>1160</v>
      </c>
      <c r="C153" s="46">
        <v>2193867.051</v>
      </c>
      <c r="D153" s="46">
        <v>6702410.1299999999</v>
      </c>
      <c r="E153" s="46">
        <v>71.599999999999994</v>
      </c>
      <c r="F153" s="46">
        <v>539</v>
      </c>
      <c r="G153" s="46">
        <v>45.146458925971281</v>
      </c>
      <c r="H153" s="46">
        <v>1.1200000000000001</v>
      </c>
      <c r="I153" s="46">
        <v>1.1172200000000001</v>
      </c>
      <c r="J153" s="46">
        <f t="shared" si="108"/>
        <v>-0.0027800000000000047</v>
      </c>
      <c r="K153" s="46">
        <f t="shared" si="114"/>
        <v>0.0027800000000000047</v>
      </c>
      <c r="L153" s="51">
        <f t="shared" si="103"/>
        <v>13.760640680636048</v>
      </c>
      <c r="M153" s="51">
        <f t="shared" si="104"/>
        <v>0.34137600000000007</v>
      </c>
      <c r="N153" s="51">
        <f t="shared" si="105"/>
        <v>0.34052865600000004</v>
      </c>
      <c r="O153" s="51">
        <f t="shared" si="106"/>
        <v>-0.0008473440000000015</v>
      </c>
      <c r="P153" s="51">
        <f t="shared" si="107"/>
        <v>0.0008473440000000015</v>
      </c>
      <c r="Q153" s="52">
        <f t="shared" si="115"/>
        <v>-0.24821428571428611</v>
      </c>
      <c r="R153" s="52">
        <f t="shared" si="116"/>
        <v>0.24821428571428611</v>
      </c>
      <c r="T153" s="46">
        <v>45.146458925971281</v>
      </c>
      <c r="U153" s="52">
        <v>2.5262160000000002</v>
      </c>
      <c r="V153" s="52">
        <v>2.4356010000000001</v>
      </c>
      <c r="W153" s="52">
        <f t="shared" si="117"/>
        <v>-0.090615000000000112</v>
      </c>
      <c r="X153" s="52">
        <f t="shared" si="118"/>
        <v>0.090615000000000112</v>
      </c>
      <c r="Y153" s="52">
        <f t="shared" si="109"/>
        <v>13.760640680636048</v>
      </c>
      <c r="Z153" s="52">
        <f t="shared" si="110"/>
        <v>0.76999063680000013</v>
      </c>
      <c r="AA153" s="52">
        <f t="shared" si="111"/>
        <v>0.74237118480000008</v>
      </c>
      <c r="AB153" s="52">
        <f t="shared" si="112"/>
        <v>-0.027619452000000034</v>
      </c>
      <c r="AC153" s="52">
        <f t="shared" si="113"/>
        <v>0.027619452000000034</v>
      </c>
      <c r="AD153" s="52">
        <f t="shared" si="119"/>
        <v>-3.5869854359247233</v>
      </c>
      <c r="AE153" s="52">
        <f t="shared" si="120"/>
        <v>3.5869854359247233</v>
      </c>
    </row>
    <row r="154">
      <c r="B154" s="46">
        <v>1161</v>
      </c>
      <c r="C154" s="46">
        <v>2193857.6209999998</v>
      </c>
      <c r="D154" s="46">
        <v>6702417.3229999999</v>
      </c>
      <c r="E154" s="46">
        <v>71.013000000000005</v>
      </c>
      <c r="F154" s="46">
        <v>539</v>
      </c>
      <c r="G154" s="46">
        <v>57.00665070362534</v>
      </c>
      <c r="H154" s="46">
        <v>1.1599999999999999</v>
      </c>
      <c r="I154" s="46">
        <v>1.249171</v>
      </c>
      <c r="J154" s="46">
        <f t="shared" si="108"/>
        <v>0.089171000000000111</v>
      </c>
      <c r="K154" s="46">
        <f t="shared" si="114"/>
        <v>0.089171000000000111</v>
      </c>
      <c r="L154" s="51">
        <f t="shared" si="103"/>
        <v>17.375627134465006</v>
      </c>
      <c r="M154" s="51">
        <f t="shared" si="104"/>
        <v>0.35356799999999999</v>
      </c>
      <c r="N154" s="51">
        <f t="shared" si="105"/>
        <v>0.38074732080000001</v>
      </c>
      <c r="O154" s="51">
        <f t="shared" si="106"/>
        <v>0.027179320800000035</v>
      </c>
      <c r="P154" s="51">
        <f t="shared" si="107"/>
        <v>0.027179320800000035</v>
      </c>
      <c r="Q154" s="52">
        <f t="shared" si="115"/>
        <v>7.6871551724138039</v>
      </c>
      <c r="R154" s="52">
        <f t="shared" si="116"/>
        <v>7.6871551724138039</v>
      </c>
      <c r="T154" s="46">
        <v>57.00665070362534</v>
      </c>
      <c r="U154" s="52">
        <v>3.1000000000000001</v>
      </c>
      <c r="V154" s="52">
        <v>3.2233559999999999</v>
      </c>
      <c r="W154" s="52">
        <f t="shared" si="117"/>
        <v>0.1233559999999998</v>
      </c>
      <c r="X154" s="52">
        <f t="shared" si="118"/>
        <v>0.1233559999999998</v>
      </c>
      <c r="Y154" s="52">
        <f t="shared" si="109"/>
        <v>17.375627134465006</v>
      </c>
      <c r="Z154" s="52">
        <f t="shared" si="110"/>
        <v>0.94488000000000005</v>
      </c>
      <c r="AA154" s="52">
        <f t="shared" si="111"/>
        <v>0.98247890879999999</v>
      </c>
      <c r="AB154" s="52">
        <f t="shared" si="112"/>
        <v>0.037598908799999942</v>
      </c>
      <c r="AC154" s="52">
        <f t="shared" si="113"/>
        <v>0.037598908799999942</v>
      </c>
      <c r="AD154" s="52">
        <f t="shared" si="119"/>
        <v>3.9792258064516064</v>
      </c>
      <c r="AE154" s="52">
        <f t="shared" si="120"/>
        <v>3.9792258064516064</v>
      </c>
    </row>
    <row r="155">
      <c r="B155" s="46">
        <v>1162</v>
      </c>
      <c r="C155" s="46">
        <v>2193851.1669999999</v>
      </c>
      <c r="D155" s="46">
        <v>6702420.7699999996</v>
      </c>
      <c r="E155" s="46">
        <v>70.741</v>
      </c>
      <c r="F155" s="46">
        <v>539</v>
      </c>
      <c r="G155" s="46">
        <v>64.323475492886047</v>
      </c>
      <c r="H155" s="46">
        <v>1.3799999999999999</v>
      </c>
      <c r="I155" s="46">
        <v>1.2962469999999999</v>
      </c>
      <c r="J155" s="46">
        <f t="shared" si="108"/>
        <v>-0.083752999999999966</v>
      </c>
      <c r="K155" s="46">
        <f t="shared" si="114"/>
        <v>0.083752999999999966</v>
      </c>
      <c r="L155" s="51">
        <f t="shared" si="103"/>
        <v>19.605795330231668</v>
      </c>
      <c r="M155" s="51">
        <f t="shared" si="104"/>
        <v>0.420624</v>
      </c>
      <c r="N155" s="51">
        <f t="shared" si="105"/>
        <v>0.39509608559999998</v>
      </c>
      <c r="O155" s="51">
        <f t="shared" si="106"/>
        <v>-0.02552791439999999</v>
      </c>
      <c r="P155" s="51">
        <f t="shared" si="107"/>
        <v>0.02552791439999999</v>
      </c>
      <c r="Q155" s="52">
        <f t="shared" si="115"/>
        <v>-6.0690579710144901</v>
      </c>
      <c r="R155" s="52">
        <f t="shared" si="116"/>
        <v>6.0690579710144901</v>
      </c>
      <c r="T155" s="46">
        <v>64.323475492886047</v>
      </c>
      <c r="U155" s="52">
        <v>3.4120320000000004</v>
      </c>
      <c r="V155" s="52">
        <v>3.5960179999999999</v>
      </c>
      <c r="W155" s="52">
        <f t="shared" si="117"/>
        <v>0.18398599999999954</v>
      </c>
      <c r="X155" s="52">
        <f t="shared" si="118"/>
        <v>0.18398599999999954</v>
      </c>
      <c r="Y155" s="52">
        <f t="shared" si="109"/>
        <v>19.605795330231668</v>
      </c>
      <c r="Z155" s="52">
        <f t="shared" si="110"/>
        <v>1.0399873536000002</v>
      </c>
      <c r="AA155" s="52">
        <f t="shared" si="111"/>
        <v>1.0960662864000001</v>
      </c>
      <c r="AB155" s="52">
        <f t="shared" si="112"/>
        <v>0.056078932799999863</v>
      </c>
      <c r="AC155" s="52">
        <f t="shared" si="113"/>
        <v>0.056078932799999863</v>
      </c>
      <c r="AD155" s="52">
        <f t="shared" si="119"/>
        <v>5.3922706469341293</v>
      </c>
      <c r="AE155" s="52">
        <f t="shared" si="120"/>
        <v>5.3922706469341293</v>
      </c>
    </row>
    <row r="156">
      <c r="B156" s="46">
        <v>1163</v>
      </c>
      <c r="C156" s="46">
        <v>2193846.0099999998</v>
      </c>
      <c r="D156" s="46">
        <v>6702425.2230000002</v>
      </c>
      <c r="E156" s="46">
        <v>70.524000000000001</v>
      </c>
      <c r="F156" s="46">
        <v>539</v>
      </c>
      <c r="G156" s="46">
        <v>71.13698105223699</v>
      </c>
      <c r="H156" s="46">
        <v>1.27</v>
      </c>
      <c r="I156" s="46">
        <v>1.3331459999999999</v>
      </c>
      <c r="J156" s="46">
        <f t="shared" si="108"/>
        <v>0.063145999999999924</v>
      </c>
      <c r="K156" s="46">
        <f t="shared" si="114"/>
        <v>0.063145999999999924</v>
      </c>
      <c r="L156" s="51">
        <f t="shared" si="103"/>
        <v>21.682551824721834</v>
      </c>
      <c r="M156" s="51">
        <f t="shared" si="104"/>
        <v>0.38709600000000005</v>
      </c>
      <c r="N156" s="51">
        <f t="shared" si="105"/>
        <v>0.40634290080000002</v>
      </c>
      <c r="O156" s="51">
        <f t="shared" si="106"/>
        <v>0.019246900799999977</v>
      </c>
      <c r="P156" s="51">
        <f t="shared" si="107"/>
        <v>0.019246900799999977</v>
      </c>
      <c r="Q156" s="52">
        <f t="shared" si="115"/>
        <v>4.9721259842519627</v>
      </c>
      <c r="R156" s="52">
        <f t="shared" si="116"/>
        <v>4.9721259842519627</v>
      </c>
      <c r="T156" s="46">
        <v>71.13698105223699</v>
      </c>
      <c r="U156" s="52">
        <v>3.6000000000000001</v>
      </c>
      <c r="V156" s="52">
        <v>3.8253900000000001</v>
      </c>
      <c r="W156" s="52">
        <f t="shared" si="117"/>
        <v>0.22538999999999998</v>
      </c>
      <c r="X156" s="52">
        <f t="shared" si="118"/>
        <v>0.22538999999999998</v>
      </c>
      <c r="Y156" s="52">
        <f t="shared" si="109"/>
        <v>21.682551824721834</v>
      </c>
      <c r="Z156" s="52">
        <f t="shared" si="110"/>
        <v>1.09728</v>
      </c>
      <c r="AA156" s="52">
        <f t="shared" si="111"/>
        <v>1.1659788720000002</v>
      </c>
      <c r="AB156" s="52">
        <f t="shared" si="112"/>
        <v>0.068698871999999994</v>
      </c>
      <c r="AC156" s="52">
        <f t="shared" si="113"/>
        <v>0.068698871999999994</v>
      </c>
      <c r="AD156" s="52">
        <f t="shared" si="119"/>
        <v>6.2608333333333324</v>
      </c>
      <c r="AE156" s="52">
        <f t="shared" si="120"/>
        <v>6.2608333333333324</v>
      </c>
    </row>
    <row r="157">
      <c r="B157" s="46">
        <v>1164</v>
      </c>
      <c r="C157" s="46">
        <v>2193839.7969999998</v>
      </c>
      <c r="D157" s="46">
        <v>6702429.9340000004</v>
      </c>
      <c r="E157" s="46">
        <v>70.119</v>
      </c>
      <c r="F157" s="46">
        <v>539</v>
      </c>
      <c r="G157" s="46">
        <v>78.93408884943041</v>
      </c>
      <c r="H157" s="46">
        <v>1.4099999999999999</v>
      </c>
      <c r="I157" s="46">
        <v>1.358725</v>
      </c>
      <c r="J157" s="46">
        <f t="shared" si="108"/>
        <v>-0.051274999999999959</v>
      </c>
      <c r="K157" s="46">
        <f t="shared" si="114"/>
        <v>0.051274999999999959</v>
      </c>
      <c r="L157" s="51">
        <f t="shared" si="103"/>
        <v>24.059110281306388</v>
      </c>
      <c r="M157" s="51">
        <f t="shared" si="104"/>
        <v>0.42976799999999998</v>
      </c>
      <c r="N157" s="51">
        <f t="shared" si="105"/>
        <v>0.41413938</v>
      </c>
      <c r="O157" s="51">
        <f t="shared" si="106"/>
        <v>-0.015628619999999989</v>
      </c>
      <c r="P157" s="51">
        <f t="shared" si="107"/>
        <v>0.015628619999999989</v>
      </c>
      <c r="Q157" s="52">
        <f t="shared" si="115"/>
        <v>-3.6365248226950326</v>
      </c>
      <c r="R157" s="52">
        <f t="shared" si="116"/>
        <v>3.6365248226950326</v>
      </c>
      <c r="T157" s="46">
        <v>78.93408884943041</v>
      </c>
      <c r="U157" s="52">
        <v>4.0353840000000005</v>
      </c>
      <c r="V157" s="52">
        <v>3.9117440000000001</v>
      </c>
      <c r="W157" s="52">
        <f t="shared" si="117"/>
        <v>-0.12364000000000042</v>
      </c>
      <c r="X157" s="52">
        <f t="shared" si="118"/>
        <v>0.12364000000000042</v>
      </c>
      <c r="Y157" s="52">
        <f t="shared" si="109"/>
        <v>24.059110281306388</v>
      </c>
      <c r="Z157" s="52">
        <f t="shared" si="110"/>
        <v>1.2299850432000001</v>
      </c>
      <c r="AA157" s="52">
        <f t="shared" si="111"/>
        <v>1.1922995712000002</v>
      </c>
      <c r="AB157" s="52">
        <f t="shared" si="112"/>
        <v>-0.037685472000000129</v>
      </c>
      <c r="AC157" s="52">
        <f t="shared" si="113"/>
        <v>0.037685472000000129</v>
      </c>
      <c r="AD157" s="52">
        <f t="shared" si="119"/>
        <v>-3.0638967691798449</v>
      </c>
      <c r="AE157" s="52">
        <f t="shared" si="120"/>
        <v>3.0638967691798449</v>
      </c>
    </row>
    <row r="158" s="72" customFormat="1">
      <c r="A158" s="75" t="s">
        <v>96</v>
      </c>
      <c r="B158" s="72">
        <v>1165</v>
      </c>
      <c r="C158" s="72">
        <v>2194301.5550000002</v>
      </c>
      <c r="D158" s="72">
        <v>6703230.4740000004</v>
      </c>
      <c r="E158" s="72">
        <v>74.475999999999999</v>
      </c>
      <c r="F158" s="72">
        <v>539</v>
      </c>
      <c r="G158" s="72">
        <v>3.7542840863491707</v>
      </c>
      <c r="H158" s="72">
        <v>0.97999999999999998</v>
      </c>
      <c r="I158" s="72">
        <v>1.587186</v>
      </c>
      <c r="J158" s="72">
        <f t="shared" si="108"/>
        <v>0.607186</v>
      </c>
      <c r="K158" s="72">
        <f t="shared" ref="K158:K167" si="121">ABS(J158)</f>
        <v>0.607186</v>
      </c>
      <c r="L158" s="73">
        <f t="shared" si="103"/>
        <v>1.1443057895192272</v>
      </c>
      <c r="M158" s="73">
        <f t="shared" si="104"/>
        <v>0.29870400000000003</v>
      </c>
      <c r="N158" s="73">
        <f t="shared" si="105"/>
        <v>0.48377429280000001</v>
      </c>
      <c r="O158" s="73">
        <f t="shared" si="106"/>
        <v>0.18507029280000001</v>
      </c>
      <c r="P158" s="73">
        <f t="shared" si="107"/>
        <v>0.18507029280000001</v>
      </c>
      <c r="Q158" s="74">
        <f t="shared" ref="Q158:Q167" si="122">100*J158/H158</f>
        <v>61.957755102040821</v>
      </c>
      <c r="R158" s="74">
        <f t="shared" ref="R158:R167" si="123">ABS(Q158)</f>
        <v>61.957755102040821</v>
      </c>
      <c r="T158" s="72">
        <v>3.7542840863491707</v>
      </c>
      <c r="U158" s="74">
        <v>0.72177600000000008</v>
      </c>
      <c r="V158" s="74">
        <v>0.46903400000000001</v>
      </c>
      <c r="W158" s="74">
        <f t="shared" ref="W158:W167" si="124">V158-U158</f>
        <v>-0.25274200000000008</v>
      </c>
      <c r="X158" s="74">
        <f t="shared" ref="X158:X167" si="125">ABS(W158)</f>
        <v>0.25274200000000008</v>
      </c>
      <c r="Y158" s="74">
        <f t="shared" si="109"/>
        <v>1.1443057895192272</v>
      </c>
      <c r="Z158" s="74">
        <f t="shared" si="110"/>
        <v>0.21999732480000003</v>
      </c>
      <c r="AA158" s="74">
        <f t="shared" si="111"/>
        <v>0.1429615632</v>
      </c>
      <c r="AB158" s="74">
        <f t="shared" si="112"/>
        <v>-0.07703576160000003</v>
      </c>
      <c r="AC158" s="74">
        <f t="shared" si="113"/>
        <v>0.07703576160000003</v>
      </c>
      <c r="AD158" s="74">
        <f t="shared" ref="AD158:AD167" si="126">100*W158/U158</f>
        <v>-35.01668107556916</v>
      </c>
      <c r="AE158" s="74">
        <f t="shared" ref="AE158:AE167" si="127">ABS(AD158)</f>
        <v>35.01668107556916</v>
      </c>
    </row>
    <row r="159">
      <c r="B159" s="46">
        <v>1166</v>
      </c>
      <c r="C159" s="46">
        <v>2194310.1430000002</v>
      </c>
      <c r="D159" s="46">
        <v>6703229.3399999999</v>
      </c>
      <c r="E159" s="46">
        <v>74.168999999999997</v>
      </c>
      <c r="F159" s="46">
        <v>539</v>
      </c>
      <c r="G159" s="46">
        <v>12.416829901583949</v>
      </c>
      <c r="H159" s="46">
        <v>2.3100000000000001</v>
      </c>
      <c r="I159" s="46">
        <v>2.6581510000000002</v>
      </c>
      <c r="J159" s="46">
        <f t="shared" si="108"/>
        <v>0.3481510000000001</v>
      </c>
      <c r="K159" s="46">
        <f t="shared" si="121"/>
        <v>0.3481510000000001</v>
      </c>
      <c r="L159" s="51">
        <f t="shared" si="103"/>
        <v>3.7846497540027877</v>
      </c>
      <c r="M159" s="51">
        <f t="shared" si="104"/>
        <v>0.70408800000000005</v>
      </c>
      <c r="N159" s="51">
        <f t="shared" si="105"/>
        <v>0.8102044248000001</v>
      </c>
      <c r="O159" s="51">
        <f t="shared" si="106"/>
        <v>0.10611642480000004</v>
      </c>
      <c r="P159" s="51">
        <f t="shared" si="107"/>
        <v>0.10611642480000004</v>
      </c>
      <c r="Q159" s="52">
        <f t="shared" si="122"/>
        <v>15.071471861471865</v>
      </c>
      <c r="R159" s="52">
        <f t="shared" si="123"/>
        <v>15.071471861471865</v>
      </c>
      <c r="T159" s="46">
        <v>12.416829901583949</v>
      </c>
      <c r="U159" s="52">
        <v>0.80000000000000004</v>
      </c>
      <c r="V159" s="52">
        <v>1.2110209999999999</v>
      </c>
      <c r="W159" s="52">
        <f t="shared" si="124"/>
        <v>0.41102099999999986</v>
      </c>
      <c r="X159" s="52">
        <f t="shared" si="125"/>
        <v>0.41102099999999986</v>
      </c>
      <c r="Y159" s="52">
        <f t="shared" si="109"/>
        <v>3.7846497540027877</v>
      </c>
      <c r="Z159" s="52">
        <f t="shared" si="110"/>
        <v>0.24384000000000003</v>
      </c>
      <c r="AA159" s="52">
        <f t="shared" si="111"/>
        <v>0.36911920079999999</v>
      </c>
      <c r="AB159" s="52">
        <f t="shared" si="112"/>
        <v>0.12527920079999996</v>
      </c>
      <c r="AC159" s="52">
        <f t="shared" si="113"/>
        <v>0.12527920079999996</v>
      </c>
      <c r="AD159" s="52">
        <f t="shared" si="126"/>
        <v>51.377624999999981</v>
      </c>
      <c r="AE159" s="52">
        <f t="shared" si="127"/>
        <v>51.377624999999981</v>
      </c>
    </row>
    <row r="160">
      <c r="B160" s="46">
        <v>1167</v>
      </c>
      <c r="C160" s="46">
        <v>2194318.8939999999</v>
      </c>
      <c r="D160" s="46">
        <v>6703229.3320000004</v>
      </c>
      <c r="E160" s="46">
        <v>73.760000000000005</v>
      </c>
      <c r="F160" s="46">
        <v>539</v>
      </c>
      <c r="G160" s="46">
        <v>21.167833558005878</v>
      </c>
      <c r="H160" s="46">
        <v>3.6699999999999999</v>
      </c>
      <c r="I160" s="46">
        <v>3.219328</v>
      </c>
      <c r="J160" s="46">
        <f t="shared" si="108"/>
        <v>-0.45067199999999996</v>
      </c>
      <c r="K160" s="46">
        <f t="shared" si="121"/>
        <v>0.45067199999999996</v>
      </c>
      <c r="L160" s="51">
        <f t="shared" si="103"/>
        <v>6.451955668480192</v>
      </c>
      <c r="M160" s="51">
        <f t="shared" si="104"/>
        <v>1.1186160000000001</v>
      </c>
      <c r="N160" s="51">
        <f t="shared" si="105"/>
        <v>0.98125117440000009</v>
      </c>
      <c r="O160" s="51">
        <f t="shared" si="106"/>
        <v>-0.13736482559999999</v>
      </c>
      <c r="P160" s="51">
        <f t="shared" si="107"/>
        <v>0.13736482559999999</v>
      </c>
      <c r="Q160" s="52">
        <f t="shared" si="122"/>
        <v>-12.279891008174387</v>
      </c>
      <c r="R160" s="52">
        <f t="shared" si="123"/>
        <v>12.279891008174387</v>
      </c>
      <c r="T160" s="46">
        <v>21.167833558005878</v>
      </c>
      <c r="U160" s="52">
        <v>1.2795120000000002</v>
      </c>
      <c r="V160" s="52">
        <v>1.395008</v>
      </c>
      <c r="W160" s="52">
        <f t="shared" si="124"/>
        <v>0.11549599999999982</v>
      </c>
      <c r="X160" s="52">
        <f t="shared" si="125"/>
        <v>0.11549599999999982</v>
      </c>
      <c r="Y160" s="52">
        <f t="shared" si="109"/>
        <v>6.451955668480192</v>
      </c>
      <c r="Z160" s="52">
        <f t="shared" si="110"/>
        <v>0.38999525760000009</v>
      </c>
      <c r="AA160" s="52">
        <f t="shared" si="111"/>
        <v>0.42519843840000004</v>
      </c>
      <c r="AB160" s="52">
        <f t="shared" si="112"/>
        <v>0.035203180799999949</v>
      </c>
      <c r="AC160" s="52">
        <f t="shared" si="113"/>
        <v>0.035203180799999949</v>
      </c>
      <c r="AD160" s="52">
        <f t="shared" si="126"/>
        <v>9.0265663784317614</v>
      </c>
      <c r="AE160" s="52">
        <f t="shared" si="127"/>
        <v>9.0265663784317614</v>
      </c>
    </row>
    <row r="161">
      <c r="B161" s="46">
        <v>1168</v>
      </c>
      <c r="C161" s="46">
        <v>2194328.1719999998</v>
      </c>
      <c r="D161" s="46">
        <v>6703229.1710000001</v>
      </c>
      <c r="E161" s="46">
        <v>73.456999999999994</v>
      </c>
      <c r="F161" s="46">
        <v>539</v>
      </c>
      <c r="G161" s="46">
        <v>30.447230359461052</v>
      </c>
      <c r="H161" s="46">
        <v>2.8500000000000001</v>
      </c>
      <c r="I161" s="46">
        <v>3.6373920000000002</v>
      </c>
      <c r="J161" s="46">
        <f t="shared" si="108"/>
        <v>0.78739200000000009</v>
      </c>
      <c r="K161" s="46">
        <f t="shared" si="121"/>
        <v>0.78739200000000009</v>
      </c>
      <c r="L161" s="51">
        <f t="shared" si="103"/>
        <v>9.28031581356373</v>
      </c>
      <c r="M161" s="51">
        <f t="shared" si="104"/>
        <v>0.86868000000000012</v>
      </c>
      <c r="N161" s="51">
        <f t="shared" si="105"/>
        <v>1.1086770816</v>
      </c>
      <c r="O161" s="51">
        <f t="shared" si="106"/>
        <v>0.23999708160000005</v>
      </c>
      <c r="P161" s="51">
        <f t="shared" si="107"/>
        <v>0.23999708160000005</v>
      </c>
      <c r="Q161" s="52">
        <f t="shared" si="122"/>
        <v>27.627789473684214</v>
      </c>
      <c r="R161" s="52">
        <f t="shared" si="123"/>
        <v>27.627789473684214</v>
      </c>
      <c r="T161" s="46">
        <v>30.447230359461052</v>
      </c>
      <c r="U161" s="52">
        <v>1.2</v>
      </c>
      <c r="V161" s="52">
        <v>1.734407</v>
      </c>
      <c r="W161" s="52">
        <f t="shared" si="124"/>
        <v>0.53440700000000008</v>
      </c>
      <c r="X161" s="52">
        <f t="shared" si="125"/>
        <v>0.53440700000000008</v>
      </c>
      <c r="Y161" s="52">
        <f t="shared" si="109"/>
        <v>9.28031581356373</v>
      </c>
      <c r="Z161" s="52">
        <f t="shared" si="110"/>
        <v>0.36576000000000003</v>
      </c>
      <c r="AA161" s="52">
        <f t="shared" si="111"/>
        <v>0.52864725360000009</v>
      </c>
      <c r="AB161" s="52">
        <f t="shared" si="112"/>
        <v>0.16288725360000003</v>
      </c>
      <c r="AC161" s="52">
        <f t="shared" si="113"/>
        <v>0.16288725360000003</v>
      </c>
      <c r="AD161" s="52">
        <f t="shared" si="126"/>
        <v>44.533916666666677</v>
      </c>
      <c r="AE161" s="52">
        <f t="shared" si="127"/>
        <v>44.533916666666677</v>
      </c>
    </row>
    <row r="162">
      <c r="B162" s="46">
        <v>1169</v>
      </c>
      <c r="C162" s="46">
        <v>2194334.449</v>
      </c>
      <c r="D162" s="46">
        <v>6703229.051</v>
      </c>
      <c r="E162" s="46">
        <v>73.364999999999995</v>
      </c>
      <c r="F162" s="46">
        <v>539</v>
      </c>
      <c r="G162" s="46">
        <v>36.725377299679415</v>
      </c>
      <c r="H162" s="46">
        <v>4.9500000000000002</v>
      </c>
      <c r="I162" s="46">
        <v>3.790829</v>
      </c>
      <c r="J162" s="46">
        <f t="shared" si="108"/>
        <v>-1.1591710000000002</v>
      </c>
      <c r="K162" s="46">
        <f t="shared" si="121"/>
        <v>1.1591710000000002</v>
      </c>
      <c r="L162" s="51">
        <f t="shared" si="103"/>
        <v>11.193895000942286</v>
      </c>
      <c r="M162" s="51">
        <f t="shared" si="104"/>
        <v>1.5087600000000001</v>
      </c>
      <c r="N162" s="51">
        <f t="shared" si="105"/>
        <v>1.1554446792000002</v>
      </c>
      <c r="O162" s="51">
        <f t="shared" si="106"/>
        <v>-0.35331532080000005</v>
      </c>
      <c r="P162" s="51">
        <f t="shared" si="107"/>
        <v>0.35331532080000005</v>
      </c>
      <c r="Q162" s="52">
        <f t="shared" si="122"/>
        <v>-23.417595959595964</v>
      </c>
      <c r="R162" s="52">
        <f t="shared" si="123"/>
        <v>23.417595959595964</v>
      </c>
      <c r="T162" s="46">
        <v>36.725377299679415</v>
      </c>
      <c r="U162" s="52">
        <v>1.6404000000000001</v>
      </c>
      <c r="V162" s="52">
        <v>2.0400010000000002</v>
      </c>
      <c r="W162" s="52">
        <f t="shared" si="124"/>
        <v>0.3996010000000001</v>
      </c>
      <c r="X162" s="52">
        <f t="shared" si="125"/>
        <v>0.3996010000000001</v>
      </c>
      <c r="Y162" s="52">
        <f t="shared" si="109"/>
        <v>11.193895000942286</v>
      </c>
      <c r="Z162" s="52">
        <f t="shared" si="110"/>
        <v>0.49999392000000004</v>
      </c>
      <c r="AA162" s="52">
        <f t="shared" si="111"/>
        <v>0.62179230480000014</v>
      </c>
      <c r="AB162" s="52">
        <f t="shared" si="112"/>
        <v>0.12179838480000003</v>
      </c>
      <c r="AC162" s="52">
        <f t="shared" si="113"/>
        <v>0.12179838480000003</v>
      </c>
      <c r="AD162" s="52">
        <f t="shared" si="126"/>
        <v>24.35997317727384</v>
      </c>
      <c r="AE162" s="52">
        <f t="shared" si="127"/>
        <v>24.35997317727384</v>
      </c>
    </row>
    <row r="163">
      <c r="B163" s="46">
        <v>1170</v>
      </c>
      <c r="C163" s="46">
        <v>2194343.8480000002</v>
      </c>
      <c r="D163" s="46">
        <v>6703228.7249999996</v>
      </c>
      <c r="E163" s="46">
        <v>73.125</v>
      </c>
      <c r="F163" s="46">
        <v>539</v>
      </c>
      <c r="G163" s="46">
        <v>46.13002918075135</v>
      </c>
      <c r="H163" s="46">
        <v>4.3700000000000001</v>
      </c>
      <c r="I163" s="46">
        <v>3.8580999999999999</v>
      </c>
      <c r="J163" s="46">
        <f t="shared" si="108"/>
        <v>-0.51190000000000024</v>
      </c>
      <c r="K163" s="46">
        <f t="shared" si="121"/>
        <v>0.51190000000000024</v>
      </c>
      <c r="L163" s="51">
        <f t="shared" si="103"/>
        <v>14.060432894293012</v>
      </c>
      <c r="M163" s="51">
        <f t="shared" si="104"/>
        <v>1.331976</v>
      </c>
      <c r="N163" s="51">
        <f t="shared" si="105"/>
        <v>1.17594888</v>
      </c>
      <c r="O163" s="51">
        <f t="shared" si="106"/>
        <v>-0.15602712000000007</v>
      </c>
      <c r="P163" s="51">
        <f t="shared" si="107"/>
        <v>0.15602712000000007</v>
      </c>
      <c r="Q163" s="52">
        <f t="shared" si="122"/>
        <v>-11.713958810068656</v>
      </c>
      <c r="R163" s="52">
        <f t="shared" si="123"/>
        <v>11.713958810068656</v>
      </c>
      <c r="T163" s="46">
        <v>46.13002918075135</v>
      </c>
      <c r="U163" s="52">
        <v>2.1000000000000001</v>
      </c>
      <c r="V163" s="52">
        <v>2.462288</v>
      </c>
      <c r="W163" s="52">
        <f t="shared" si="124"/>
        <v>0.36228799999999994</v>
      </c>
      <c r="X163" s="52">
        <f t="shared" si="125"/>
        <v>0.36228799999999994</v>
      </c>
      <c r="Y163" s="52">
        <f t="shared" si="109"/>
        <v>14.060432894293012</v>
      </c>
      <c r="Z163" s="52">
        <f t="shared" si="110"/>
        <v>0.64008000000000009</v>
      </c>
      <c r="AA163" s="52">
        <f t="shared" si="111"/>
        <v>0.75050538240000009</v>
      </c>
      <c r="AB163" s="52">
        <f t="shared" si="112"/>
        <v>0.11042538239999999</v>
      </c>
      <c r="AC163" s="52">
        <f t="shared" si="113"/>
        <v>0.11042538239999999</v>
      </c>
      <c r="AD163" s="52">
        <f t="shared" si="126"/>
        <v>17.25180952380952</v>
      </c>
      <c r="AE163" s="52">
        <f t="shared" si="127"/>
        <v>17.25180952380952</v>
      </c>
    </row>
    <row r="164">
      <c r="B164" s="46">
        <v>1171</v>
      </c>
      <c r="C164" s="46">
        <v>2194352.1919999998</v>
      </c>
      <c r="D164" s="46">
        <v>6703228.4009999996</v>
      </c>
      <c r="E164" s="46">
        <v>73.177999999999997</v>
      </c>
      <c r="F164" s="46">
        <v>539</v>
      </c>
      <c r="G164" s="46">
        <v>54.480317319068938</v>
      </c>
      <c r="H164" s="46">
        <v>4.9199999999999999</v>
      </c>
      <c r="I164" s="46">
        <v>3.6134810000000002</v>
      </c>
      <c r="J164" s="46">
        <f t="shared" si="108"/>
        <v>-1.3065189999999998</v>
      </c>
      <c r="K164" s="46">
        <f t="shared" si="121"/>
        <v>1.3065189999999998</v>
      </c>
      <c r="L164" s="51">
        <f t="shared" si="103"/>
        <v>16.605600718852212</v>
      </c>
      <c r="M164" s="51">
        <f t="shared" si="104"/>
        <v>1.4996160000000001</v>
      </c>
      <c r="N164" s="51">
        <f t="shared" si="105"/>
        <v>1.1013890088</v>
      </c>
      <c r="O164" s="51">
        <f t="shared" si="106"/>
        <v>-0.39822699119999994</v>
      </c>
      <c r="P164" s="51">
        <f t="shared" si="107"/>
        <v>0.39822699119999994</v>
      </c>
      <c r="Q164" s="52">
        <f t="shared" si="122"/>
        <v>-26.555264227642272</v>
      </c>
      <c r="R164" s="52">
        <f t="shared" si="123"/>
        <v>26.555264227642272</v>
      </c>
      <c r="T164" s="46">
        <v>54.480317319068938</v>
      </c>
      <c r="U164" s="52">
        <v>2.1653280000000001</v>
      </c>
      <c r="V164" s="52">
        <v>2.1033279999999999</v>
      </c>
      <c r="W164" s="52">
        <f t="shared" si="124"/>
        <v>-0.062000000000000277</v>
      </c>
      <c r="X164" s="52">
        <f t="shared" si="125"/>
        <v>0.062000000000000277</v>
      </c>
      <c r="Y164" s="52">
        <f t="shared" si="109"/>
        <v>16.605600718852212</v>
      </c>
      <c r="Z164" s="52">
        <f t="shared" si="110"/>
        <v>0.65999197440000013</v>
      </c>
      <c r="AA164" s="52">
        <f t="shared" si="111"/>
        <v>0.64109437439999994</v>
      </c>
      <c r="AB164" s="52">
        <f t="shared" si="112"/>
        <v>-0.018897600000000084</v>
      </c>
      <c r="AC164" s="52">
        <f t="shared" si="113"/>
        <v>0.018897600000000084</v>
      </c>
      <c r="AD164" s="52">
        <f t="shared" si="126"/>
        <v>-2.8633075450924883</v>
      </c>
      <c r="AE164" s="52">
        <f t="shared" si="127"/>
        <v>2.8633075450924883</v>
      </c>
    </row>
    <row r="165">
      <c r="B165" s="46">
        <v>1172</v>
      </c>
      <c r="C165" s="46">
        <v>2194361.6740000001</v>
      </c>
      <c r="D165" s="46">
        <v>6703227.0930000003</v>
      </c>
      <c r="E165" s="46">
        <v>73.593999999999994</v>
      </c>
      <c r="F165" s="46">
        <v>539</v>
      </c>
      <c r="G165" s="46">
        <v>64.052108583191554</v>
      </c>
      <c r="H165" s="46">
        <v>4.0999999999999996</v>
      </c>
      <c r="I165" s="46">
        <v>3.1150289999999998</v>
      </c>
      <c r="J165" s="46">
        <f t="shared" si="108"/>
        <v>-0.98497099999999982</v>
      </c>
      <c r="K165" s="46">
        <f t="shared" si="121"/>
        <v>0.98497099999999982</v>
      </c>
      <c r="L165" s="51">
        <f t="shared" si="103"/>
        <v>19.523082696156788</v>
      </c>
      <c r="M165" s="51">
        <f t="shared" si="104"/>
        <v>1.2496799999999999</v>
      </c>
      <c r="N165" s="51">
        <f t="shared" si="105"/>
        <v>0.94946083920000002</v>
      </c>
      <c r="O165" s="51">
        <f t="shared" si="106"/>
        <v>-0.30021916079999994</v>
      </c>
      <c r="P165" s="51">
        <f t="shared" si="107"/>
        <v>0.30021916079999994</v>
      </c>
      <c r="Q165" s="52">
        <f t="shared" si="122"/>
        <v>-24.023682926829267</v>
      </c>
      <c r="R165" s="52">
        <f t="shared" si="123"/>
        <v>24.023682926829267</v>
      </c>
      <c r="T165" s="46">
        <v>64.052108583191554</v>
      </c>
      <c r="U165" s="52">
        <v>1.5</v>
      </c>
      <c r="V165" s="52">
        <v>1.5676399999999999</v>
      </c>
      <c r="W165" s="52">
        <f t="shared" si="124"/>
        <v>0.067639999999999922</v>
      </c>
      <c r="X165" s="52">
        <f t="shared" si="125"/>
        <v>0.067639999999999922</v>
      </c>
      <c r="Y165" s="52">
        <f t="shared" si="109"/>
        <v>19.523082696156788</v>
      </c>
      <c r="Z165" s="52">
        <f t="shared" si="110"/>
        <v>0.45720000000000005</v>
      </c>
      <c r="AA165" s="52">
        <f t="shared" si="111"/>
        <v>0.477816672</v>
      </c>
      <c r="AB165" s="52">
        <f t="shared" si="112"/>
        <v>0.020616671999999978</v>
      </c>
      <c r="AC165" s="52">
        <f t="shared" si="113"/>
        <v>0.020616671999999978</v>
      </c>
      <c r="AD165" s="52">
        <f t="shared" si="126"/>
        <v>4.5093333333333279</v>
      </c>
      <c r="AE165" s="52">
        <f t="shared" si="127"/>
        <v>4.5093333333333279</v>
      </c>
    </row>
    <row r="166">
      <c r="B166" s="46">
        <v>1173</v>
      </c>
      <c r="C166" s="46">
        <v>2194369.2560000001</v>
      </c>
      <c r="D166" s="46">
        <v>6703227.2769999998</v>
      </c>
      <c r="E166" s="46">
        <v>73.546000000000006</v>
      </c>
      <c r="F166" s="46">
        <v>539</v>
      </c>
      <c r="G166" s="46">
        <v>71.636340910779396</v>
      </c>
      <c r="H166" s="46">
        <v>3.5600000000000001</v>
      </c>
      <c r="I166" s="46">
        <v>2.629057</v>
      </c>
      <c r="J166" s="46">
        <f t="shared" si="108"/>
        <v>-0.93094300000000008</v>
      </c>
      <c r="K166" s="46">
        <f t="shared" si="121"/>
        <v>0.93094300000000008</v>
      </c>
      <c r="L166" s="51">
        <f t="shared" si="103"/>
        <v>21.834756709605561</v>
      </c>
      <c r="M166" s="51">
        <f t="shared" si="104"/>
        <v>1.0850880000000001</v>
      </c>
      <c r="N166" s="51">
        <f t="shared" si="105"/>
        <v>0.80133657359999999</v>
      </c>
      <c r="O166" s="51">
        <f t="shared" si="106"/>
        <v>-0.28375142640000006</v>
      </c>
      <c r="P166" s="51">
        <f t="shared" si="107"/>
        <v>0.28375142640000006</v>
      </c>
      <c r="Q166" s="52">
        <f t="shared" si="122"/>
        <v>-26.150084269662923</v>
      </c>
      <c r="R166" s="52">
        <f t="shared" si="123"/>
        <v>26.150084269662923</v>
      </c>
      <c r="T166" s="46">
        <v>71.636340910779396</v>
      </c>
      <c r="U166" s="52">
        <v>1.5</v>
      </c>
      <c r="V166" s="52">
        <v>1.1332800000000001</v>
      </c>
      <c r="W166" s="52">
        <f t="shared" si="124"/>
        <v>-0.36671999999999993</v>
      </c>
      <c r="X166" s="52">
        <f t="shared" si="125"/>
        <v>0.36671999999999993</v>
      </c>
      <c r="Y166" s="52">
        <f t="shared" si="109"/>
        <v>21.834756709605561</v>
      </c>
      <c r="Z166" s="52">
        <f t="shared" si="110"/>
        <v>0.45720000000000005</v>
      </c>
      <c r="AA166" s="52">
        <f t="shared" si="111"/>
        <v>0.34542374400000003</v>
      </c>
      <c r="AB166" s="52">
        <f t="shared" si="112"/>
        <v>-0.11177625599999999</v>
      </c>
      <c r="AC166" s="52">
        <f t="shared" si="113"/>
        <v>0.11177625599999999</v>
      </c>
      <c r="AD166" s="52">
        <f t="shared" si="126"/>
        <v>-24.447999999999997</v>
      </c>
      <c r="AE166" s="52">
        <f t="shared" si="127"/>
        <v>24.447999999999997</v>
      </c>
    </row>
    <row r="167">
      <c r="B167" s="46">
        <v>1174</v>
      </c>
      <c r="C167" s="46">
        <v>2194381.3599999999</v>
      </c>
      <c r="D167" s="46">
        <v>6703225.4189999998</v>
      </c>
      <c r="E167" s="46">
        <v>74.629999999999995</v>
      </c>
      <c r="F167" s="46">
        <v>539</v>
      </c>
      <c r="G167" s="46">
        <v>83.882114875523669</v>
      </c>
      <c r="H167" s="46">
        <v>1.3799999999999999</v>
      </c>
      <c r="I167" s="46">
        <v>2.0405799999999998</v>
      </c>
      <c r="J167" s="46">
        <f t="shared" si="108"/>
        <v>0.66057999999999995</v>
      </c>
      <c r="K167" s="46">
        <f t="shared" si="121"/>
        <v>0.66057999999999995</v>
      </c>
      <c r="L167" s="51">
        <f t="shared" si="103"/>
        <v>25.567268614059614</v>
      </c>
      <c r="M167" s="51">
        <f t="shared" si="104"/>
        <v>0.420624</v>
      </c>
      <c r="N167" s="51">
        <f t="shared" si="105"/>
        <v>0.621968784</v>
      </c>
      <c r="O167" s="51">
        <f t="shared" si="106"/>
        <v>0.201344784</v>
      </c>
      <c r="P167" s="51">
        <f t="shared" si="107"/>
        <v>0.201344784</v>
      </c>
      <c r="Q167" s="52">
        <f t="shared" si="122"/>
        <v>47.868115942028986</v>
      </c>
      <c r="R167" s="52">
        <f t="shared" si="123"/>
        <v>47.868115942028986</v>
      </c>
      <c r="T167" s="46">
        <v>83.882114875523669</v>
      </c>
      <c r="U167" s="52">
        <v>0.36088800000000004</v>
      </c>
      <c r="V167" s="52">
        <v>0.64272300000000004</v>
      </c>
      <c r="W167" s="52">
        <f t="shared" si="124"/>
        <v>0.281835</v>
      </c>
      <c r="X167" s="52">
        <f t="shared" si="125"/>
        <v>0.281835</v>
      </c>
      <c r="Y167" s="52">
        <f t="shared" si="109"/>
        <v>25.567268614059614</v>
      </c>
      <c r="Z167" s="52">
        <f t="shared" si="110"/>
        <v>0.10999866240000002</v>
      </c>
      <c r="AA167" s="52">
        <f t="shared" si="111"/>
        <v>0.19590197040000001</v>
      </c>
      <c r="AB167" s="52">
        <f t="shared" si="112"/>
        <v>0.085903308000000012</v>
      </c>
      <c r="AC167" s="52">
        <f t="shared" si="113"/>
        <v>0.085903308000000012</v>
      </c>
      <c r="AD167" s="52">
        <f t="shared" si="126"/>
        <v>78.094865997206881</v>
      </c>
      <c r="AE167" s="52">
        <f t="shared" si="127"/>
        <v>78.094865997206881</v>
      </c>
    </row>
    <row r="168" s="72" customFormat="1">
      <c r="A168" s="75" t="s">
        <v>55</v>
      </c>
      <c r="B168" s="72">
        <v>1177</v>
      </c>
      <c r="C168" s="72">
        <v>2206869.8289999999</v>
      </c>
      <c r="D168" s="72">
        <v>6750293.7620000001</v>
      </c>
      <c r="E168" s="72">
        <v>196.22999999999999</v>
      </c>
      <c r="F168" s="72">
        <v>797</v>
      </c>
      <c r="G168" s="74">
        <v>22.901811969431176</v>
      </c>
      <c r="H168" s="72">
        <v>1.71</v>
      </c>
      <c r="I168" s="72">
        <v>1.636225</v>
      </c>
      <c r="J168" s="72">
        <f t="shared" ref="J168:J189" si="128">I168-H168</f>
        <v>-0.073774999999999924</v>
      </c>
      <c r="K168" s="72">
        <f t="shared" ref="K168:K189" si="129">ABS(J168)</f>
        <v>0.073774999999999924</v>
      </c>
      <c r="L168" s="73">
        <f t="shared" si="103"/>
        <v>6.9804722882826225</v>
      </c>
      <c r="M168" s="73">
        <f t="shared" si="104"/>
        <v>0.521208</v>
      </c>
      <c r="N168" s="73">
        <f t="shared" si="105"/>
        <v>0.49872138000000005</v>
      </c>
      <c r="O168" s="73">
        <f t="shared" si="106"/>
        <v>-0.022486619999999978</v>
      </c>
      <c r="P168" s="73">
        <f t="shared" si="107"/>
        <v>0.022486619999999978</v>
      </c>
      <c r="Q168" s="74">
        <f t="shared" ref="Q168:Q189" si="130">100*J168/H168</f>
        <v>-4.3143274853801126</v>
      </c>
      <c r="R168" s="74">
        <f t="shared" ref="R168:R189" si="131">ABS(Q168)</f>
        <v>4.3143274853801126</v>
      </c>
      <c r="T168" s="74">
        <v>22.901811969431176</v>
      </c>
      <c r="U168" s="74">
        <v>1.2795120000000002</v>
      </c>
      <c r="V168" s="74">
        <v>0.58553999999999995</v>
      </c>
      <c r="W168" s="74">
        <f t="shared" ref="W168:W189" si="132">V168-U168</f>
        <v>-0.69397200000000026</v>
      </c>
      <c r="X168" s="74">
        <f t="shared" ref="X168:X189" si="133">ABS(W168)</f>
        <v>0.69397200000000026</v>
      </c>
      <c r="Y168" s="74">
        <f t="shared" si="109"/>
        <v>6.9804722882826225</v>
      </c>
      <c r="Z168" s="74">
        <f t="shared" si="110"/>
        <v>0.38999525760000009</v>
      </c>
      <c r="AA168" s="74">
        <f t="shared" si="111"/>
        <v>0.17847259199999999</v>
      </c>
      <c r="AB168" s="74">
        <f t="shared" si="112"/>
        <v>-0.21152266560000008</v>
      </c>
      <c r="AC168" s="74">
        <f t="shared" si="113"/>
        <v>0.21152266560000008</v>
      </c>
      <c r="AD168" s="74">
        <f t="shared" ref="AD168:AD189" si="134">100*W168/U168</f>
        <v>-54.237240447920783</v>
      </c>
      <c r="AE168" s="74">
        <f t="shared" ref="AE168:AE189" si="135">ABS(AD168)</f>
        <v>54.237240447920783</v>
      </c>
    </row>
    <row r="169">
      <c r="B169" s="46">
        <v>1178</v>
      </c>
      <c r="C169" s="46">
        <v>2206883.4980000001</v>
      </c>
      <c r="D169" s="46">
        <v>6750294.4309999999</v>
      </c>
      <c r="E169" s="46">
        <v>196.245</v>
      </c>
      <c r="F169" s="46">
        <v>797</v>
      </c>
      <c r="G169" s="52">
        <v>36.587173565161606</v>
      </c>
      <c r="H169" s="46">
        <v>2.25</v>
      </c>
      <c r="I169" s="46">
        <v>2.3045789999999999</v>
      </c>
      <c r="J169" s="46">
        <f t="shared" si="128"/>
        <v>0.054578999999999933</v>
      </c>
      <c r="K169" s="46">
        <f t="shared" si="129"/>
        <v>0.054578999999999933</v>
      </c>
      <c r="L169" s="51">
        <f t="shared" si="103"/>
        <v>11.151770502661257</v>
      </c>
      <c r="M169" s="51">
        <f t="shared" si="104"/>
        <v>0.68580000000000008</v>
      </c>
      <c r="N169" s="51">
        <f t="shared" si="105"/>
        <v>0.70243567920000005</v>
      </c>
      <c r="O169" s="51">
        <f t="shared" si="106"/>
        <v>0.016635679199999979</v>
      </c>
      <c r="P169" s="51">
        <f t="shared" si="107"/>
        <v>0.016635679199999979</v>
      </c>
      <c r="Q169" s="52">
        <f t="shared" si="130"/>
        <v>2.4257333333333304</v>
      </c>
      <c r="R169" s="52">
        <f t="shared" si="131"/>
        <v>2.4257333333333304</v>
      </c>
      <c r="T169" s="52">
        <v>36.587173565161606</v>
      </c>
      <c r="U169" s="52">
        <v>1</v>
      </c>
      <c r="V169" s="52">
        <v>1.508745</v>
      </c>
      <c r="W169" s="52">
        <f t="shared" si="132"/>
        <v>0.508745</v>
      </c>
      <c r="X169" s="52">
        <f t="shared" si="133"/>
        <v>0.508745</v>
      </c>
      <c r="Y169" s="52">
        <f t="shared" si="109"/>
        <v>11.151770502661257</v>
      </c>
      <c r="Z169" s="52">
        <f t="shared" si="110"/>
        <v>0.30480000000000002</v>
      </c>
      <c r="AA169" s="52">
        <f t="shared" si="111"/>
        <v>0.45986547600000005</v>
      </c>
      <c r="AB169" s="52">
        <f t="shared" si="112"/>
        <v>0.15506547600000001</v>
      </c>
      <c r="AC169" s="52">
        <f t="shared" si="113"/>
        <v>0.15506547600000001</v>
      </c>
      <c r="AD169" s="52">
        <f t="shared" si="134"/>
        <v>50.874499999999998</v>
      </c>
      <c r="AE169" s="52">
        <f t="shared" si="135"/>
        <v>50.874499999999998</v>
      </c>
    </row>
    <row r="170">
      <c r="B170" s="46">
        <v>1179</v>
      </c>
      <c r="C170" s="46">
        <v>2206894.693</v>
      </c>
      <c r="D170" s="46">
        <v>6750293.5199999996</v>
      </c>
      <c r="E170" s="46">
        <v>195.55799999999999</v>
      </c>
      <c r="F170" s="46">
        <v>797</v>
      </c>
      <c r="G170" s="52">
        <v>47.819178995930272</v>
      </c>
      <c r="H170" s="46">
        <v>2.4300000000000002</v>
      </c>
      <c r="I170" s="46">
        <v>2.5399669999999999</v>
      </c>
      <c r="J170" s="46">
        <f t="shared" si="128"/>
        <v>0.1099669999999997</v>
      </c>
      <c r="K170" s="46">
        <f t="shared" si="129"/>
        <v>0.1099669999999997</v>
      </c>
      <c r="L170" s="51">
        <f t="shared" si="103"/>
        <v>14.575285757959549</v>
      </c>
      <c r="M170" s="51">
        <f t="shared" si="104"/>
        <v>0.7406640000000001</v>
      </c>
      <c r="N170" s="51">
        <f t="shared" si="105"/>
        <v>0.77418194159999998</v>
      </c>
      <c r="O170" s="51">
        <f t="shared" si="106"/>
        <v>0.033517941599999913</v>
      </c>
      <c r="P170" s="51">
        <f t="shared" si="107"/>
        <v>0.033517941599999913</v>
      </c>
      <c r="Q170" s="52">
        <f t="shared" si="130"/>
        <v>4.5253909465020454</v>
      </c>
      <c r="R170" s="52">
        <f t="shared" si="131"/>
        <v>4.5253909465020454</v>
      </c>
      <c r="T170" s="52">
        <v>47.819178995930272</v>
      </c>
      <c r="U170" s="52">
        <v>1.6075920000000001</v>
      </c>
      <c r="V170" s="52">
        <v>1.7325459999999999</v>
      </c>
      <c r="W170" s="52">
        <f t="shared" si="132"/>
        <v>0.12495399999999979</v>
      </c>
      <c r="X170" s="52">
        <f t="shared" si="133"/>
        <v>0.12495399999999979</v>
      </c>
      <c r="Y170" s="52">
        <f t="shared" si="109"/>
        <v>14.575285757959549</v>
      </c>
      <c r="Z170" s="52">
        <f t="shared" si="110"/>
        <v>0.48999404160000004</v>
      </c>
      <c r="AA170" s="52">
        <f t="shared" si="111"/>
        <v>0.52808002080000005</v>
      </c>
      <c r="AB170" s="52">
        <f t="shared" si="112"/>
        <v>0.038085979199999939</v>
      </c>
      <c r="AC170" s="52">
        <f t="shared" si="113"/>
        <v>0.038085979199999939</v>
      </c>
      <c r="AD170" s="52">
        <f t="shared" si="134"/>
        <v>7.7727433328854447</v>
      </c>
      <c r="AE170" s="52">
        <f t="shared" si="135"/>
        <v>7.7727433328854447</v>
      </c>
    </row>
    <row r="171">
      <c r="B171" s="46">
        <v>1180</v>
      </c>
      <c r="C171" s="46">
        <v>2206906.2370000002</v>
      </c>
      <c r="D171" s="46">
        <v>6750293.1129999999</v>
      </c>
      <c r="E171" s="46">
        <v>195.01300000000001</v>
      </c>
      <c r="F171" s="46">
        <v>797</v>
      </c>
      <c r="G171" s="52">
        <v>59.370351447459498</v>
      </c>
      <c r="H171" s="46">
        <v>2.4300000000000002</v>
      </c>
      <c r="I171" s="46">
        <v>2.6512929999999999</v>
      </c>
      <c r="J171" s="46">
        <f t="shared" si="128"/>
        <v>0.22129299999999974</v>
      </c>
      <c r="K171" s="46">
        <f t="shared" si="129"/>
        <v>0.22129299999999974</v>
      </c>
      <c r="L171" s="51">
        <f t="shared" si="103"/>
        <v>18.096083121185657</v>
      </c>
      <c r="M171" s="51">
        <f t="shared" si="104"/>
        <v>0.7406640000000001</v>
      </c>
      <c r="N171" s="51">
        <f t="shared" si="105"/>
        <v>0.80811410640000003</v>
      </c>
      <c r="O171" s="51">
        <f t="shared" si="106"/>
        <v>0.067450106399999918</v>
      </c>
      <c r="P171" s="51">
        <f t="shared" si="107"/>
        <v>0.067450106399999918</v>
      </c>
      <c r="Q171" s="52">
        <f t="shared" si="130"/>
        <v>9.1067078189300297</v>
      </c>
      <c r="R171" s="52">
        <f t="shared" si="131"/>
        <v>9.1067078189300297</v>
      </c>
      <c r="T171" s="52">
        <v>59.370351447459498</v>
      </c>
      <c r="U171" s="52">
        <v>2.2309440000000005</v>
      </c>
      <c r="V171" s="52">
        <v>2.3815360000000001</v>
      </c>
      <c r="W171" s="52">
        <f t="shared" si="132"/>
        <v>0.15059199999999962</v>
      </c>
      <c r="X171" s="52">
        <f t="shared" si="133"/>
        <v>0.15059199999999962</v>
      </c>
      <c r="Y171" s="52">
        <f t="shared" si="109"/>
        <v>18.096083121185657</v>
      </c>
      <c r="Z171" s="52">
        <f t="shared" si="110"/>
        <v>0.67999173120000023</v>
      </c>
      <c r="AA171" s="52">
        <f t="shared" si="111"/>
        <v>0.72589217280000007</v>
      </c>
      <c r="AB171" s="52">
        <f t="shared" si="112"/>
        <v>0.045900441599999883</v>
      </c>
      <c r="AC171" s="52">
        <f t="shared" si="113"/>
        <v>0.045900441599999883</v>
      </c>
      <c r="AD171" s="52">
        <f t="shared" si="134"/>
        <v>6.7501470229642511</v>
      </c>
      <c r="AE171" s="52">
        <f t="shared" si="135"/>
        <v>6.7501470229642511</v>
      </c>
    </row>
    <row r="172">
      <c r="B172" s="46">
        <v>1181</v>
      </c>
      <c r="C172" s="46">
        <v>2206917.3960000002</v>
      </c>
      <c r="D172" s="46">
        <v>6750292.2230000002</v>
      </c>
      <c r="E172" s="46">
        <v>194.93100000000001</v>
      </c>
      <c r="F172" s="46">
        <v>797</v>
      </c>
      <c r="G172" s="52">
        <v>70.564786716782848</v>
      </c>
      <c r="H172" s="46">
        <v>2.5299999999999998</v>
      </c>
      <c r="I172" s="46">
        <v>2.7287439999999998</v>
      </c>
      <c r="J172" s="46">
        <f t="shared" si="128"/>
        <v>0.19874400000000003</v>
      </c>
      <c r="K172" s="46">
        <f t="shared" si="129"/>
        <v>0.19874400000000003</v>
      </c>
      <c r="L172" s="51">
        <f t="shared" si="103"/>
        <v>21.508146991275414</v>
      </c>
      <c r="M172" s="51">
        <f t="shared" si="104"/>
        <v>0.77114399999999994</v>
      </c>
      <c r="N172" s="51">
        <f t="shared" si="105"/>
        <v>0.8317211712</v>
      </c>
      <c r="O172" s="51">
        <f t="shared" si="106"/>
        <v>0.060577171200000016</v>
      </c>
      <c r="P172" s="51">
        <f t="shared" si="107"/>
        <v>0.060577171200000016</v>
      </c>
      <c r="Q172" s="52">
        <f t="shared" si="130"/>
        <v>7.8554940711462464</v>
      </c>
      <c r="R172" s="52">
        <f t="shared" si="131"/>
        <v>7.8554940711462464</v>
      </c>
      <c r="T172" s="52">
        <v>70.564786716782848</v>
      </c>
      <c r="U172" s="52">
        <v>2.3999999999999999</v>
      </c>
      <c r="V172" s="52">
        <v>2.3868969999999998</v>
      </c>
      <c r="W172" s="52">
        <f t="shared" si="132"/>
        <v>-0.013103000000000087</v>
      </c>
      <c r="X172" s="52">
        <f t="shared" si="133"/>
        <v>0.013103000000000087</v>
      </c>
      <c r="Y172" s="52">
        <f t="shared" si="109"/>
        <v>21.508146991275414</v>
      </c>
      <c r="Z172" s="52">
        <f t="shared" si="110"/>
        <v>0.73152000000000006</v>
      </c>
      <c r="AA172" s="52">
        <f t="shared" si="111"/>
        <v>0.72752620560000003</v>
      </c>
      <c r="AB172" s="52">
        <f t="shared" si="112"/>
        <v>-0.0039937944000000263</v>
      </c>
      <c r="AC172" s="52">
        <f t="shared" si="113"/>
        <v>0.0039937944000000263</v>
      </c>
      <c r="AD172" s="52">
        <f t="shared" si="134"/>
        <v>-0.54595833333333699</v>
      </c>
      <c r="AE172" s="52">
        <f t="shared" si="135"/>
        <v>0.54595833333333699</v>
      </c>
    </row>
    <row r="173">
      <c r="B173" s="46">
        <v>1182</v>
      </c>
      <c r="C173" s="46">
        <v>2206926.4819999998</v>
      </c>
      <c r="D173" s="46">
        <v>6750292.3969999999</v>
      </c>
      <c r="E173" s="46">
        <v>193.898</v>
      </c>
      <c r="F173" s="46">
        <v>797</v>
      </c>
      <c r="G173" s="52">
        <v>79.652452643395563</v>
      </c>
      <c r="H173" s="46">
        <v>2.8199999999999998</v>
      </c>
      <c r="I173" s="46">
        <v>2.8088920000000002</v>
      </c>
      <c r="J173" s="46">
        <f t="shared" si="128"/>
        <v>-0.011107999999999674</v>
      </c>
      <c r="K173" s="46">
        <f t="shared" si="129"/>
        <v>0.011107999999999674</v>
      </c>
      <c r="L173" s="51">
        <f t="shared" si="103"/>
        <v>24.278067565706969</v>
      </c>
      <c r="M173" s="51">
        <f t="shared" si="104"/>
        <v>0.85953599999999997</v>
      </c>
      <c r="N173" s="51">
        <f t="shared" si="105"/>
        <v>0.85615028160000006</v>
      </c>
      <c r="O173" s="51">
        <f t="shared" si="106"/>
        <v>-0.0033857183999999006</v>
      </c>
      <c r="P173" s="51">
        <f t="shared" si="107"/>
        <v>0.0033857183999999006</v>
      </c>
      <c r="Q173" s="52">
        <f t="shared" si="130"/>
        <v>-0.3939007092198466</v>
      </c>
      <c r="R173" s="52">
        <f t="shared" si="131"/>
        <v>0.3939007092198466</v>
      </c>
      <c r="T173" s="52">
        <v>79.652452643395563</v>
      </c>
      <c r="U173" s="52">
        <v>3.3464160000000001</v>
      </c>
      <c r="V173" s="52">
        <v>2.404217</v>
      </c>
      <c r="W173" s="52">
        <f t="shared" si="132"/>
        <v>-0.94219900000000001</v>
      </c>
      <c r="X173" s="52">
        <f t="shared" si="133"/>
        <v>0.94219900000000001</v>
      </c>
      <c r="Y173" s="52">
        <f t="shared" si="109"/>
        <v>24.278067565706969</v>
      </c>
      <c r="Z173" s="52">
        <f t="shared" si="110"/>
        <v>1.0199875968000001</v>
      </c>
      <c r="AA173" s="52">
        <f t="shared" si="111"/>
        <v>0.7328053416000001</v>
      </c>
      <c r="AB173" s="52">
        <f t="shared" si="112"/>
        <v>-0.28718225520000001</v>
      </c>
      <c r="AC173" s="52">
        <f t="shared" si="113"/>
        <v>0.28718225520000001</v>
      </c>
      <c r="AD173" s="52">
        <f t="shared" si="134"/>
        <v>-28.155465429283147</v>
      </c>
      <c r="AE173" s="52">
        <f t="shared" si="135"/>
        <v>28.155465429283147</v>
      </c>
    </row>
    <row r="174">
      <c r="B174" s="46">
        <v>1183</v>
      </c>
      <c r="C174" s="46">
        <v>2206939.7319999998</v>
      </c>
      <c r="D174" s="46">
        <v>6750292.4299999997</v>
      </c>
      <c r="E174" s="46">
        <v>193.947</v>
      </c>
      <c r="F174" s="46">
        <v>797</v>
      </c>
      <c r="G174" s="52">
        <v>92.902493737671008</v>
      </c>
      <c r="H174" s="46">
        <v>3.0099999999999998</v>
      </c>
      <c r="I174" s="46">
        <v>2.8925079999999999</v>
      </c>
      <c r="J174" s="46">
        <f t="shared" si="128"/>
        <v>-0.11749199999999993</v>
      </c>
      <c r="K174" s="46">
        <f t="shared" si="129"/>
        <v>0.11749199999999993</v>
      </c>
      <c r="L174" s="51">
        <f t="shared" si="103"/>
        <v>28.316680091242123</v>
      </c>
      <c r="M174" s="51">
        <f t="shared" si="104"/>
        <v>0.91744799999999993</v>
      </c>
      <c r="N174" s="51">
        <f t="shared" si="105"/>
        <v>0.88163643840000006</v>
      </c>
      <c r="O174" s="51">
        <f t="shared" si="106"/>
        <v>-0.035811561599999979</v>
      </c>
      <c r="P174" s="51">
        <f t="shared" si="107"/>
        <v>0.035811561599999979</v>
      </c>
      <c r="Q174" s="52">
        <f t="shared" si="130"/>
        <v>-3.9033887043189348</v>
      </c>
      <c r="R174" s="52">
        <f t="shared" si="131"/>
        <v>3.9033887043189348</v>
      </c>
      <c r="T174" s="52">
        <v>92.902493737671008</v>
      </c>
      <c r="U174" s="52">
        <v>3.2000000000000002</v>
      </c>
      <c r="V174" s="52">
        <v>2.4022199999999998</v>
      </c>
      <c r="W174" s="52">
        <f t="shared" si="132"/>
        <v>-0.79778000000000038</v>
      </c>
      <c r="X174" s="52">
        <f t="shared" si="133"/>
        <v>0.79778000000000038</v>
      </c>
      <c r="Y174" s="52">
        <f t="shared" si="109"/>
        <v>28.316680091242123</v>
      </c>
      <c r="Z174" s="52">
        <f t="shared" si="110"/>
        <v>0.97536000000000012</v>
      </c>
      <c r="AA174" s="52">
        <f t="shared" si="111"/>
        <v>0.73219665599999995</v>
      </c>
      <c r="AB174" s="52">
        <f t="shared" si="112"/>
        <v>-0.24316334400000011</v>
      </c>
      <c r="AC174" s="52">
        <f t="shared" si="113"/>
        <v>0.24316334400000011</v>
      </c>
      <c r="AD174" s="52">
        <f t="shared" si="134"/>
        <v>-24.93062500000001</v>
      </c>
      <c r="AE174" s="52">
        <f t="shared" si="135"/>
        <v>24.93062500000001</v>
      </c>
    </row>
    <row r="175">
      <c r="B175" s="46">
        <v>1184</v>
      </c>
      <c r="C175" s="46">
        <v>2206950.6430000002</v>
      </c>
      <c r="D175" s="46">
        <v>6750291.3590000002</v>
      </c>
      <c r="E175" s="46">
        <v>194.822</v>
      </c>
      <c r="F175" s="46">
        <v>797</v>
      </c>
      <c r="G175" s="52">
        <v>103.86593124630959</v>
      </c>
      <c r="H175" s="46">
        <v>2.5600000000000001</v>
      </c>
      <c r="I175" s="46">
        <v>2.948264</v>
      </c>
      <c r="J175" s="46">
        <f t="shared" si="128"/>
        <v>0.38826399999999994</v>
      </c>
      <c r="K175" s="46">
        <f t="shared" si="129"/>
        <v>0.38826399999999994</v>
      </c>
      <c r="L175" s="51">
        <f t="shared" si="103"/>
        <v>31.658335843875165</v>
      </c>
      <c r="M175" s="51">
        <f t="shared" si="104"/>
        <v>0.78028800000000009</v>
      </c>
      <c r="N175" s="51">
        <f t="shared" si="105"/>
        <v>0.89863086720000007</v>
      </c>
      <c r="O175" s="51">
        <f t="shared" si="106"/>
        <v>0.11834286719999999</v>
      </c>
      <c r="P175" s="51">
        <f t="shared" si="107"/>
        <v>0.11834286719999999</v>
      </c>
      <c r="Q175" s="52">
        <f t="shared" si="130"/>
        <v>15.166562499999996</v>
      </c>
      <c r="R175" s="52">
        <f t="shared" si="131"/>
        <v>15.166562499999996</v>
      </c>
      <c r="T175" s="52">
        <v>103.86593124630959</v>
      </c>
      <c r="U175" s="52">
        <v>2.2965599999999999</v>
      </c>
      <c r="V175" s="52">
        <v>2.4530729999999998</v>
      </c>
      <c r="W175" s="52">
        <f t="shared" si="132"/>
        <v>0.1565129999999999</v>
      </c>
      <c r="X175" s="52">
        <f t="shared" si="133"/>
        <v>0.1565129999999999</v>
      </c>
      <c r="Y175" s="52">
        <f t="shared" si="109"/>
        <v>31.658335843875165</v>
      </c>
      <c r="Z175" s="52">
        <f t="shared" si="110"/>
        <v>0.699991488</v>
      </c>
      <c r="AA175" s="52">
        <f t="shared" si="111"/>
        <v>0.7476966504</v>
      </c>
      <c r="AB175" s="52">
        <f t="shared" si="112"/>
        <v>0.047705162399999973</v>
      </c>
      <c r="AC175" s="52">
        <f t="shared" si="113"/>
        <v>0.047705162399999973</v>
      </c>
      <c r="AD175" s="52">
        <f t="shared" si="134"/>
        <v>6.8151060716898275</v>
      </c>
      <c r="AE175" s="52">
        <f t="shared" si="135"/>
        <v>6.8151060716898275</v>
      </c>
    </row>
    <row r="176">
      <c r="B176" s="46">
        <v>1185</v>
      </c>
      <c r="C176" s="46">
        <v>2206961.0279999999</v>
      </c>
      <c r="D176" s="46">
        <v>6750290.0329999998</v>
      </c>
      <c r="E176" s="46">
        <v>195.08199999999999</v>
      </c>
      <c r="F176" s="46">
        <v>797</v>
      </c>
      <c r="G176" s="52">
        <v>114.33524359222258</v>
      </c>
      <c r="H176" s="46">
        <v>3.1200000000000001</v>
      </c>
      <c r="I176" s="46">
        <v>3.030386</v>
      </c>
      <c r="J176" s="46">
        <f t="shared" si="128"/>
        <v>-0.089614000000000082</v>
      </c>
      <c r="K176" s="46">
        <f t="shared" si="129"/>
        <v>0.089614000000000082</v>
      </c>
      <c r="L176" s="51">
        <f t="shared" si="103"/>
        <v>34.849382246909443</v>
      </c>
      <c r="M176" s="51">
        <f t="shared" si="104"/>
        <v>0.95097600000000004</v>
      </c>
      <c r="N176" s="51">
        <f t="shared" si="105"/>
        <v>0.92366165280000001</v>
      </c>
      <c r="O176" s="51">
        <f t="shared" si="106"/>
        <v>-0.027314347200000026</v>
      </c>
      <c r="P176" s="51">
        <f t="shared" si="107"/>
        <v>0.027314347200000026</v>
      </c>
      <c r="Q176" s="52">
        <f t="shared" si="130"/>
        <v>-2.8722435897435923</v>
      </c>
      <c r="R176" s="52">
        <f t="shared" si="131"/>
        <v>2.8722435897435923</v>
      </c>
      <c r="T176" s="52">
        <v>114.33524359222258</v>
      </c>
      <c r="U176" s="52">
        <v>2</v>
      </c>
      <c r="V176" s="52">
        <v>2.4219759999999999</v>
      </c>
      <c r="W176" s="52">
        <f t="shared" si="132"/>
        <v>0.42197599999999991</v>
      </c>
      <c r="X176" s="52">
        <f t="shared" si="133"/>
        <v>0.42197599999999991</v>
      </c>
      <c r="Y176" s="52">
        <f t="shared" si="109"/>
        <v>34.849382246909443</v>
      </c>
      <c r="Z176" s="52">
        <f t="shared" si="110"/>
        <v>0.60960000000000003</v>
      </c>
      <c r="AA176" s="52">
        <f t="shared" si="111"/>
        <v>0.73821828479999996</v>
      </c>
      <c r="AB176" s="52">
        <f t="shared" si="112"/>
        <v>0.12861828479999998</v>
      </c>
      <c r="AC176" s="52">
        <f t="shared" si="113"/>
        <v>0.12861828479999998</v>
      </c>
      <c r="AD176" s="52">
        <f t="shared" si="134"/>
        <v>21.098799999999997</v>
      </c>
      <c r="AE176" s="52">
        <f t="shared" si="135"/>
        <v>21.098799999999997</v>
      </c>
    </row>
    <row r="177">
      <c r="B177" s="46">
        <v>1186</v>
      </c>
      <c r="C177" s="46">
        <v>2206971.6570000001</v>
      </c>
      <c r="D177" s="46">
        <v>6750290.3880000003</v>
      </c>
      <c r="E177" s="46">
        <v>195.542</v>
      </c>
      <c r="F177" s="46">
        <v>797</v>
      </c>
      <c r="G177" s="52">
        <v>124.97017029645313</v>
      </c>
      <c r="H177" s="46">
        <v>2.9900000000000002</v>
      </c>
      <c r="I177" s="46">
        <v>3.080041</v>
      </c>
      <c r="J177" s="46">
        <f t="shared" si="128"/>
        <v>0.090040999999999816</v>
      </c>
      <c r="K177" s="46">
        <f t="shared" si="129"/>
        <v>0.090040999999999816</v>
      </c>
      <c r="L177" s="51">
        <f t="shared" si="103"/>
        <v>38.090907906358915</v>
      </c>
      <c r="M177" s="51">
        <f t="shared" si="104"/>
        <v>0.91135200000000016</v>
      </c>
      <c r="N177" s="51">
        <f t="shared" si="105"/>
        <v>0.9387964968000001</v>
      </c>
      <c r="O177" s="51">
        <f t="shared" si="106"/>
        <v>0.027444496799999944</v>
      </c>
      <c r="P177" s="51">
        <f t="shared" si="107"/>
        <v>0.027444496799999944</v>
      </c>
      <c r="Q177" s="52">
        <f t="shared" si="130"/>
        <v>3.0114046822742413</v>
      </c>
      <c r="R177" s="52">
        <f t="shared" si="131"/>
        <v>3.0114046822742413</v>
      </c>
      <c r="T177" s="52">
        <v>124.97017029645313</v>
      </c>
      <c r="U177" s="52">
        <v>2.13252</v>
      </c>
      <c r="V177" s="52">
        <v>2.1320510000000001</v>
      </c>
      <c r="W177" s="52">
        <f t="shared" si="132"/>
        <v>-0.00046899999999983066</v>
      </c>
      <c r="X177" s="52">
        <f t="shared" si="133"/>
        <v>0.00046899999999983066</v>
      </c>
      <c r="Y177" s="52">
        <f t="shared" si="109"/>
        <v>38.090907906358915</v>
      </c>
      <c r="Z177" s="52">
        <f t="shared" si="110"/>
        <v>0.64999209600000007</v>
      </c>
      <c r="AA177" s="52">
        <f t="shared" si="111"/>
        <v>0.64984914480000011</v>
      </c>
      <c r="AB177" s="52">
        <f t="shared" si="112"/>
        <v>-0.0001429511999999484</v>
      </c>
      <c r="AC177" s="52">
        <f t="shared" si="113"/>
        <v>0.0001429511999999484</v>
      </c>
      <c r="AD177" s="52">
        <f t="shared" si="134"/>
        <v>-0.021992759739642802</v>
      </c>
      <c r="AE177" s="52">
        <f t="shared" si="135"/>
        <v>0.021992759739642802</v>
      </c>
    </row>
    <row r="178">
      <c r="B178" s="46">
        <v>1187</v>
      </c>
      <c r="C178" s="46">
        <v>2206984.7280000001</v>
      </c>
      <c r="D178" s="46">
        <v>6750290.9239999996</v>
      </c>
      <c r="E178" s="46">
        <v>195.637</v>
      </c>
      <c r="F178" s="46">
        <v>797</v>
      </c>
      <c r="G178" s="52">
        <v>138.05215550509939</v>
      </c>
      <c r="H178" s="46">
        <v>3.1800000000000002</v>
      </c>
      <c r="I178" s="46">
        <v>2.9667059999999998</v>
      </c>
      <c r="J178" s="46">
        <f t="shared" si="128"/>
        <v>-0.21329400000000032</v>
      </c>
      <c r="K178" s="46">
        <f t="shared" si="129"/>
        <v>0.21329400000000032</v>
      </c>
      <c r="L178" s="51">
        <f t="shared" si="103"/>
        <v>42.078296997954297</v>
      </c>
      <c r="M178" s="51">
        <f t="shared" si="104"/>
        <v>0.96926400000000013</v>
      </c>
      <c r="N178" s="51">
        <f t="shared" si="105"/>
        <v>0.90425198880000002</v>
      </c>
      <c r="O178" s="51">
        <f t="shared" si="106"/>
        <v>-0.065012011200000094</v>
      </c>
      <c r="P178" s="51">
        <f t="shared" si="107"/>
        <v>0.065012011200000094</v>
      </c>
      <c r="Q178" s="52">
        <f t="shared" si="130"/>
        <v>-6.7073584905660475</v>
      </c>
      <c r="R178" s="52">
        <f t="shared" si="131"/>
        <v>6.7073584905660475</v>
      </c>
      <c r="T178" s="52">
        <v>138.05215550509939</v>
      </c>
      <c r="U178" s="52">
        <v>1.7</v>
      </c>
      <c r="V178" s="52">
        <v>1.849583</v>
      </c>
      <c r="W178" s="52">
        <f t="shared" si="132"/>
        <v>0.14958300000000002</v>
      </c>
      <c r="X178" s="52">
        <f t="shared" si="133"/>
        <v>0.14958300000000002</v>
      </c>
      <c r="Y178" s="52">
        <f t="shared" si="109"/>
        <v>42.078296997954297</v>
      </c>
      <c r="Z178" s="52">
        <f t="shared" si="110"/>
        <v>0.51816000000000006</v>
      </c>
      <c r="AA178" s="52">
        <f t="shared" si="111"/>
        <v>0.56375289839999998</v>
      </c>
      <c r="AB178" s="52">
        <f t="shared" si="112"/>
        <v>0.045592898400000012</v>
      </c>
      <c r="AC178" s="52">
        <f t="shared" si="113"/>
        <v>0.045592898400000012</v>
      </c>
      <c r="AD178" s="52">
        <f t="shared" si="134"/>
        <v>8.7990000000000013</v>
      </c>
      <c r="AE178" s="52">
        <f t="shared" si="135"/>
        <v>8.7990000000000013</v>
      </c>
    </row>
    <row r="179">
      <c r="B179" s="46">
        <v>1188</v>
      </c>
      <c r="C179" s="46">
        <v>2206994.2829999998</v>
      </c>
      <c r="D179" s="46">
        <v>6750289.9639999997</v>
      </c>
      <c r="E179" s="46">
        <v>195.34800000000001</v>
      </c>
      <c r="F179" s="46">
        <v>797</v>
      </c>
      <c r="G179" s="52">
        <v>147.65526047142322</v>
      </c>
      <c r="H179" s="46">
        <v>2.5600000000000001</v>
      </c>
      <c r="I179" s="46">
        <v>2.7940309999999999</v>
      </c>
      <c r="J179" s="46">
        <f t="shared" si="128"/>
        <v>0.23403099999999988</v>
      </c>
      <c r="K179" s="46">
        <f t="shared" si="129"/>
        <v>0.23403099999999988</v>
      </c>
      <c r="L179" s="51">
        <f t="shared" si="103"/>
        <v>45.005323391689799</v>
      </c>
      <c r="M179" s="51">
        <f t="shared" si="104"/>
        <v>0.78028800000000009</v>
      </c>
      <c r="N179" s="51">
        <f t="shared" si="105"/>
        <v>0.85162064879999999</v>
      </c>
      <c r="O179" s="51">
        <f t="shared" si="106"/>
        <v>0.071332648799999968</v>
      </c>
      <c r="P179" s="51">
        <f t="shared" si="107"/>
        <v>0.071332648799999968</v>
      </c>
      <c r="Q179" s="52">
        <f t="shared" si="130"/>
        <v>9.1418359374999945</v>
      </c>
      <c r="R179" s="52">
        <f t="shared" si="131"/>
        <v>9.1418359374999945</v>
      </c>
      <c r="T179" s="52">
        <v>147.65526047142322</v>
      </c>
      <c r="U179" s="52">
        <v>1.7388240000000001</v>
      </c>
      <c r="V179" s="52">
        <v>1.285903</v>
      </c>
      <c r="W179" s="52">
        <f t="shared" si="132"/>
        <v>-0.45292100000000013</v>
      </c>
      <c r="X179" s="52">
        <f t="shared" si="133"/>
        <v>0.45292100000000013</v>
      </c>
      <c r="Y179" s="52">
        <f t="shared" si="109"/>
        <v>45.005323391689799</v>
      </c>
      <c r="Z179" s="52">
        <f t="shared" si="110"/>
        <v>0.52999355520000002</v>
      </c>
      <c r="AA179" s="52">
        <f t="shared" si="111"/>
        <v>0.39194323440000001</v>
      </c>
      <c r="AB179" s="52">
        <f t="shared" si="112"/>
        <v>-0.13805032080000004</v>
      </c>
      <c r="AC179" s="52">
        <f t="shared" si="113"/>
        <v>0.13805032080000004</v>
      </c>
      <c r="AD179" s="52">
        <f t="shared" si="134"/>
        <v>-26.047547077795112</v>
      </c>
      <c r="AE179" s="52">
        <f t="shared" si="135"/>
        <v>26.047547077795112</v>
      </c>
    </row>
    <row r="180">
      <c r="B180" s="46">
        <v>1189</v>
      </c>
      <c r="C180" s="46">
        <v>2207006.2590000001</v>
      </c>
      <c r="D180" s="46">
        <v>6750289.8430000003</v>
      </c>
      <c r="E180" s="46">
        <v>196.38999999999999</v>
      </c>
      <c r="F180" s="46">
        <v>797</v>
      </c>
      <c r="G180" s="52">
        <v>159.63187172026977</v>
      </c>
      <c r="H180" s="46">
        <v>1.27</v>
      </c>
      <c r="I180" s="46">
        <v>2.3518919999999999</v>
      </c>
      <c r="J180" s="46">
        <f t="shared" si="128"/>
        <v>1.0818919999999999</v>
      </c>
      <c r="K180" s="46">
        <f t="shared" si="129"/>
        <v>1.0818919999999999</v>
      </c>
      <c r="L180" s="51">
        <f t="shared" si="103"/>
        <v>48.655794500338232</v>
      </c>
      <c r="M180" s="51">
        <f t="shared" si="104"/>
        <v>0.38709600000000005</v>
      </c>
      <c r="N180" s="51">
        <f t="shared" si="105"/>
        <v>0.71685668160000005</v>
      </c>
      <c r="O180" s="51">
        <f t="shared" si="106"/>
        <v>0.32976068159999999</v>
      </c>
      <c r="P180" s="51">
        <f t="shared" si="107"/>
        <v>0.32976068159999999</v>
      </c>
      <c r="Q180" s="52">
        <f t="shared" si="130"/>
        <v>85.188346456692898</v>
      </c>
      <c r="R180" s="52">
        <f t="shared" si="131"/>
        <v>85.188346456692898</v>
      </c>
      <c r="T180" s="52">
        <v>159.63187172026977</v>
      </c>
      <c r="U180" s="52">
        <v>1</v>
      </c>
      <c r="V180" s="52">
        <v>0.77539800000000003</v>
      </c>
      <c r="W180" s="52">
        <f t="shared" si="132"/>
        <v>-0.22460199999999997</v>
      </c>
      <c r="X180" s="52">
        <f t="shared" si="133"/>
        <v>0.22460199999999997</v>
      </c>
      <c r="Y180" s="52">
        <f t="shared" si="109"/>
        <v>48.655794500338232</v>
      </c>
      <c r="Z180" s="52">
        <f t="shared" si="110"/>
        <v>0.30480000000000002</v>
      </c>
      <c r="AA180" s="52">
        <f t="shared" si="111"/>
        <v>0.23634131040000003</v>
      </c>
      <c r="AB180" s="52">
        <f t="shared" si="112"/>
        <v>-0.068458689599999997</v>
      </c>
      <c r="AC180" s="52">
        <f t="shared" si="113"/>
        <v>0.068458689599999997</v>
      </c>
      <c r="AD180" s="52">
        <f t="shared" si="134"/>
        <v>-22.460199999999997</v>
      </c>
      <c r="AE180" s="52">
        <f t="shared" si="135"/>
        <v>22.460199999999997</v>
      </c>
    </row>
    <row r="181">
      <c r="B181" s="46">
        <v>1190</v>
      </c>
      <c r="C181" s="46">
        <v>2207016.0899999999</v>
      </c>
      <c r="D181" s="46">
        <v>6750289.7180000003</v>
      </c>
      <c r="E181" s="46">
        <v>196.74600000000001</v>
      </c>
      <c r="F181" s="46">
        <v>797</v>
      </c>
      <c r="G181" s="52">
        <v>169.46366636802009</v>
      </c>
      <c r="H181" s="46">
        <v>0.56000000000000005</v>
      </c>
      <c r="I181" s="46">
        <v>1.817566</v>
      </c>
      <c r="J181" s="46">
        <f t="shared" si="128"/>
        <v>1.257566</v>
      </c>
      <c r="K181" s="46">
        <f t="shared" si="129"/>
        <v>1.257566</v>
      </c>
      <c r="L181" s="51">
        <f t="shared" si="103"/>
        <v>51.652525508972523</v>
      </c>
      <c r="M181" s="51">
        <f t="shared" si="104"/>
        <v>0.17068800000000003</v>
      </c>
      <c r="N181" s="51">
        <f t="shared" si="105"/>
        <v>0.55399411679999999</v>
      </c>
      <c r="O181" s="51">
        <f t="shared" si="106"/>
        <v>0.38330611679999999</v>
      </c>
      <c r="P181" s="51">
        <f t="shared" si="107"/>
        <v>0.38330611679999999</v>
      </c>
      <c r="Q181" s="52">
        <f t="shared" si="130"/>
        <v>224.5653571428571</v>
      </c>
      <c r="R181" s="52">
        <f t="shared" si="131"/>
        <v>224.5653571428571</v>
      </c>
      <c r="T181" s="52">
        <v>169.46366636802009</v>
      </c>
      <c r="U181" s="52">
        <v>0.39369599999999999</v>
      </c>
      <c r="V181" s="52">
        <v>0.52266900000000005</v>
      </c>
      <c r="W181" s="52">
        <f t="shared" si="132"/>
        <v>0.12897300000000006</v>
      </c>
      <c r="X181" s="52">
        <f t="shared" si="133"/>
        <v>0.12897300000000006</v>
      </c>
      <c r="Y181" s="52">
        <f t="shared" si="109"/>
        <v>51.652525508972523</v>
      </c>
      <c r="Z181" s="52">
        <f t="shared" si="110"/>
        <v>0.1199985408</v>
      </c>
      <c r="AA181" s="52">
        <f t="shared" si="111"/>
        <v>0.15930951120000003</v>
      </c>
      <c r="AB181" s="52">
        <f t="shared" si="112"/>
        <v>0.03931097040000002</v>
      </c>
      <c r="AC181" s="52">
        <f t="shared" si="113"/>
        <v>0.03931097040000002</v>
      </c>
      <c r="AD181" s="52">
        <f t="shared" si="134"/>
        <v>32.759540356010746</v>
      </c>
      <c r="AE181" s="52">
        <f t="shared" si="135"/>
        <v>32.759540356010746</v>
      </c>
    </row>
    <row r="182">
      <c r="B182" s="46">
        <v>1191</v>
      </c>
      <c r="C182" s="46">
        <v>2207028.6889999998</v>
      </c>
      <c r="D182" s="46">
        <v>6750290.6090000002</v>
      </c>
      <c r="E182" s="46">
        <v>196.81800000000001</v>
      </c>
      <c r="F182" s="46">
        <v>797</v>
      </c>
      <c r="G182" s="52">
        <v>182.09413278846202</v>
      </c>
      <c r="H182" s="46">
        <v>0.39000000000000001</v>
      </c>
      <c r="I182" s="46">
        <v>0.91683800000000004</v>
      </c>
      <c r="J182" s="46">
        <f t="shared" si="128"/>
        <v>0.52683800000000003</v>
      </c>
      <c r="K182" s="46">
        <f t="shared" si="129"/>
        <v>0.52683800000000003</v>
      </c>
      <c r="L182" s="51">
        <f t="shared" si="103"/>
        <v>55.502291673923224</v>
      </c>
      <c r="M182" s="51">
        <f t="shared" si="104"/>
        <v>0.11887200000000001</v>
      </c>
      <c r="N182" s="51">
        <f t="shared" si="105"/>
        <v>0.27945222240000001</v>
      </c>
      <c r="O182" s="51">
        <f t="shared" si="106"/>
        <v>0.16058022240000003</v>
      </c>
      <c r="P182" s="51">
        <f t="shared" si="107"/>
        <v>0.16058022240000003</v>
      </c>
      <c r="Q182" s="52">
        <f t="shared" si="130"/>
        <v>135.08666666666667</v>
      </c>
      <c r="R182" s="52">
        <f t="shared" si="131"/>
        <v>135.08666666666667</v>
      </c>
      <c r="T182" s="52">
        <v>182.09413278846202</v>
      </c>
      <c r="U182" s="52">
        <v>0.42650400000000005</v>
      </c>
      <c r="V182" s="52">
        <v>0.38447599999999998</v>
      </c>
      <c r="W182" s="52">
        <f t="shared" si="132"/>
        <v>-0.042028000000000065</v>
      </c>
      <c r="X182" s="52">
        <f t="shared" si="133"/>
        <v>0.042028000000000065</v>
      </c>
      <c r="Y182" s="52">
        <f t="shared" si="109"/>
        <v>55.502291673923224</v>
      </c>
      <c r="Z182" s="52">
        <f t="shared" si="110"/>
        <v>0.12999841920000002</v>
      </c>
      <c r="AA182" s="52">
        <f t="shared" si="111"/>
        <v>0.1171882848</v>
      </c>
      <c r="AB182" s="52">
        <f t="shared" si="112"/>
        <v>-0.01281013440000002</v>
      </c>
      <c r="AC182" s="52">
        <f t="shared" si="113"/>
        <v>0.01281013440000002</v>
      </c>
      <c r="AD182" s="52">
        <f t="shared" si="134"/>
        <v>-9.854069363945019</v>
      </c>
      <c r="AE182" s="52">
        <f t="shared" si="135"/>
        <v>9.854069363945019</v>
      </c>
    </row>
    <row r="183">
      <c r="B183" s="46">
        <v>1192</v>
      </c>
      <c r="C183" s="46">
        <v>2207041.3900000001</v>
      </c>
      <c r="D183" s="46">
        <v>6750290.8499999996</v>
      </c>
      <c r="E183" s="46">
        <v>196.56299999999999</v>
      </c>
      <c r="F183" s="46">
        <v>797</v>
      </c>
      <c r="G183" s="52">
        <v>194.79741905653586</v>
      </c>
      <c r="H183" s="46">
        <v>0.52000000000000002</v>
      </c>
      <c r="I183" s="46">
        <v>0.67441399999999996</v>
      </c>
      <c r="J183" s="46">
        <f t="shared" si="128"/>
        <v>0.15441399999999994</v>
      </c>
      <c r="K183" s="46">
        <f t="shared" si="129"/>
        <v>0.15441399999999994</v>
      </c>
      <c r="L183" s="51">
        <f t="shared" si="103"/>
        <v>59.374253328432133</v>
      </c>
      <c r="M183" s="51">
        <f t="shared" si="104"/>
        <v>0.15849600000000003</v>
      </c>
      <c r="N183" s="51">
        <f t="shared" si="105"/>
        <v>0.2055613872</v>
      </c>
      <c r="O183" s="51">
        <f t="shared" si="106"/>
        <v>0.047065387199999982</v>
      </c>
      <c r="P183" s="51">
        <f t="shared" si="107"/>
        <v>0.047065387199999982</v>
      </c>
      <c r="Q183" s="52">
        <f t="shared" si="130"/>
        <v>29.69499999999999</v>
      </c>
      <c r="R183" s="52">
        <f t="shared" si="131"/>
        <v>29.69499999999999</v>
      </c>
      <c r="T183" s="52">
        <v>194.79741905653586</v>
      </c>
      <c r="U183" s="52">
        <v>0.42650400000000005</v>
      </c>
      <c r="V183" s="52">
        <v>0.37120300000000001</v>
      </c>
      <c r="W183" s="52">
        <f t="shared" si="132"/>
        <v>-0.055301000000000045</v>
      </c>
      <c r="X183" s="52">
        <f t="shared" si="133"/>
        <v>0.055301000000000045</v>
      </c>
      <c r="Y183" s="52">
        <f t="shared" si="109"/>
        <v>59.374253328432133</v>
      </c>
      <c r="Z183" s="52">
        <f t="shared" si="110"/>
        <v>0.12999841920000002</v>
      </c>
      <c r="AA183" s="52">
        <f t="shared" si="111"/>
        <v>0.1131426744</v>
      </c>
      <c r="AB183" s="52">
        <f t="shared" si="112"/>
        <v>-0.016855744800000013</v>
      </c>
      <c r="AC183" s="52">
        <f t="shared" si="113"/>
        <v>0.016855744800000013</v>
      </c>
      <c r="AD183" s="52">
        <f t="shared" si="134"/>
        <v>-12.966115206422458</v>
      </c>
      <c r="AE183" s="52">
        <f t="shared" si="135"/>
        <v>12.966115206422458</v>
      </c>
    </row>
    <row r="184">
      <c r="B184" s="46">
        <v>1193</v>
      </c>
      <c r="C184" s="46">
        <v>2207052.2960000001</v>
      </c>
      <c r="D184" s="46">
        <v>6750291.1799999997</v>
      </c>
      <c r="E184" s="46">
        <v>196.459</v>
      </c>
      <c r="F184" s="46">
        <v>797</v>
      </c>
      <c r="G184" s="52">
        <v>205.7084105788108</v>
      </c>
      <c r="H184" s="46">
        <v>0.97999999999999998</v>
      </c>
      <c r="I184" s="46">
        <v>0.80635100000000004</v>
      </c>
      <c r="J184" s="46">
        <f t="shared" si="128"/>
        <v>-0.17364899999999994</v>
      </c>
      <c r="K184" s="46">
        <f t="shared" si="129"/>
        <v>0.17364899999999994</v>
      </c>
      <c r="L184" s="51">
        <f t="shared" si="103"/>
        <v>62.699923544421537</v>
      </c>
      <c r="M184" s="51">
        <f t="shared" si="104"/>
        <v>0.29870400000000003</v>
      </c>
      <c r="N184" s="51">
        <f t="shared" si="105"/>
        <v>0.24577578480000004</v>
      </c>
      <c r="O184" s="51">
        <f t="shared" si="106"/>
        <v>-0.052928215199999983</v>
      </c>
      <c r="P184" s="51">
        <f t="shared" si="107"/>
        <v>0.052928215199999983</v>
      </c>
      <c r="Q184" s="52">
        <f t="shared" si="130"/>
        <v>-17.719285714285711</v>
      </c>
      <c r="R184" s="52">
        <f t="shared" si="131"/>
        <v>17.719285714285711</v>
      </c>
      <c r="T184" s="52">
        <v>205.7084105788108</v>
      </c>
      <c r="U184" s="52">
        <v>0.65616000000000008</v>
      </c>
      <c r="V184" s="52">
        <v>0.57482</v>
      </c>
      <c r="W184" s="52">
        <f t="shared" si="132"/>
        <v>-0.081340000000000079</v>
      </c>
      <c r="X184" s="52">
        <f t="shared" si="133"/>
        <v>0.081340000000000079</v>
      </c>
      <c r="Y184" s="52">
        <f t="shared" si="109"/>
        <v>62.699923544421537</v>
      </c>
      <c r="Z184" s="52">
        <f t="shared" si="110"/>
        <v>0.19999756800000004</v>
      </c>
      <c r="AA184" s="52">
        <f t="shared" si="111"/>
        <v>0.17520513600000001</v>
      </c>
      <c r="AB184" s="52">
        <f t="shared" si="112"/>
        <v>-0.024792432000000024</v>
      </c>
      <c r="AC184" s="52">
        <f t="shared" si="113"/>
        <v>0.024792432000000024</v>
      </c>
      <c r="AD184" s="52">
        <f t="shared" si="134"/>
        <v>-12.396366739819566</v>
      </c>
      <c r="AE184" s="52">
        <f t="shared" si="135"/>
        <v>12.396366739819566</v>
      </c>
    </row>
    <row r="185">
      <c r="B185" s="46">
        <v>1194</v>
      </c>
      <c r="C185" s="46">
        <v>2207063.5419999999</v>
      </c>
      <c r="D185" s="46">
        <v>6750291.9780000001</v>
      </c>
      <c r="E185" s="46">
        <v>195.971</v>
      </c>
      <c r="F185" s="46">
        <v>797</v>
      </c>
      <c r="G185" s="52">
        <v>216.98268749559765</v>
      </c>
      <c r="H185" s="46">
        <v>0.89000000000000001</v>
      </c>
      <c r="I185" s="46">
        <v>0.74181299999999994</v>
      </c>
      <c r="J185" s="46">
        <f t="shared" si="128"/>
        <v>-0.14818700000000007</v>
      </c>
      <c r="K185" s="46">
        <f t="shared" si="129"/>
        <v>0.14818700000000007</v>
      </c>
      <c r="L185" s="51">
        <f t="shared" si="103"/>
        <v>66.136323148658164</v>
      </c>
      <c r="M185" s="51">
        <f t="shared" si="104"/>
        <v>0.27127200000000001</v>
      </c>
      <c r="N185" s="51">
        <f t="shared" si="105"/>
        <v>0.22610460239999999</v>
      </c>
      <c r="O185" s="51">
        <f t="shared" si="106"/>
        <v>-0.04516739760000002</v>
      </c>
      <c r="P185" s="51">
        <f t="shared" si="107"/>
        <v>0.04516739760000002</v>
      </c>
      <c r="Q185" s="52">
        <f t="shared" si="130"/>
        <v>-16.650224719101132</v>
      </c>
      <c r="R185" s="52">
        <f t="shared" si="131"/>
        <v>16.650224719101132</v>
      </c>
      <c r="T185" s="52">
        <v>216.98268749559765</v>
      </c>
      <c r="U185" s="52">
        <v>1.2</v>
      </c>
      <c r="V185" s="52">
        <v>0.97225899999999998</v>
      </c>
      <c r="W185" s="52">
        <f t="shared" si="132"/>
        <v>-0.22774099999999997</v>
      </c>
      <c r="X185" s="52">
        <f t="shared" si="133"/>
        <v>0.22774099999999997</v>
      </c>
      <c r="Y185" s="52">
        <f t="shared" si="109"/>
        <v>66.136323148658164</v>
      </c>
      <c r="Z185" s="52">
        <f t="shared" si="110"/>
        <v>0.36576000000000003</v>
      </c>
      <c r="AA185" s="52">
        <f t="shared" si="111"/>
        <v>0.29634454320000003</v>
      </c>
      <c r="AB185" s="52">
        <f t="shared" si="112"/>
        <v>-0.069415456799999997</v>
      </c>
      <c r="AC185" s="52">
        <f t="shared" si="113"/>
        <v>0.069415456799999997</v>
      </c>
      <c r="AD185" s="52">
        <f t="shared" si="134"/>
        <v>-18.978416666666664</v>
      </c>
      <c r="AE185" s="52">
        <f t="shared" si="135"/>
        <v>18.978416666666664</v>
      </c>
    </row>
    <row r="186">
      <c r="B186" s="46">
        <v>1195</v>
      </c>
      <c r="C186" s="46">
        <v>2207073.5789999999</v>
      </c>
      <c r="D186" s="46">
        <v>6750290.1220000004</v>
      </c>
      <c r="E186" s="46">
        <v>195.559</v>
      </c>
      <c r="F186" s="46">
        <v>797</v>
      </c>
      <c r="G186" s="52">
        <v>227.18984699268768</v>
      </c>
      <c r="H186" s="46">
        <v>1.05</v>
      </c>
      <c r="I186" s="46">
        <v>0.66975700000000005</v>
      </c>
      <c r="J186" s="46">
        <f t="shared" si="128"/>
        <v>-0.380243</v>
      </c>
      <c r="K186" s="46">
        <f t="shared" si="129"/>
        <v>0.380243</v>
      </c>
      <c r="L186" s="51">
        <f t="shared" si="103"/>
        <v>69.247465363371205</v>
      </c>
      <c r="M186" s="51">
        <f t="shared" si="104"/>
        <v>0.32004000000000005</v>
      </c>
      <c r="N186" s="51">
        <f t="shared" si="105"/>
        <v>0.20414193360000002</v>
      </c>
      <c r="O186" s="51">
        <f t="shared" si="106"/>
        <v>-0.1158980664</v>
      </c>
      <c r="P186" s="51">
        <f t="shared" si="107"/>
        <v>0.1158980664</v>
      </c>
      <c r="Q186" s="52">
        <f t="shared" si="130"/>
        <v>-36.213619047619041</v>
      </c>
      <c r="R186" s="52">
        <f t="shared" si="131"/>
        <v>36.213619047619041</v>
      </c>
      <c r="T186" s="52">
        <v>227.18984699268768</v>
      </c>
      <c r="U186" s="52">
        <v>1.541976</v>
      </c>
      <c r="V186" s="52">
        <v>1.3161039999999999</v>
      </c>
      <c r="W186" s="52">
        <f t="shared" si="132"/>
        <v>-0.22587200000000007</v>
      </c>
      <c r="X186" s="52">
        <f t="shared" si="133"/>
        <v>0.22587200000000007</v>
      </c>
      <c r="Y186" s="52">
        <f t="shared" si="109"/>
        <v>69.247465363371205</v>
      </c>
      <c r="Z186" s="52">
        <f t="shared" si="110"/>
        <v>0.46999428480000005</v>
      </c>
      <c r="AA186" s="52">
        <f t="shared" si="111"/>
        <v>0.40114849920000001</v>
      </c>
      <c r="AB186" s="52">
        <f t="shared" si="112"/>
        <v>-0.068845785600000028</v>
      </c>
      <c r="AC186" s="52">
        <f t="shared" si="113"/>
        <v>0.068845785600000028</v>
      </c>
      <c r="AD186" s="52">
        <f t="shared" si="134"/>
        <v>-14.648217611687864</v>
      </c>
      <c r="AE186" s="52">
        <f t="shared" si="135"/>
        <v>14.648217611687864</v>
      </c>
    </row>
    <row r="187">
      <c r="B187" s="46">
        <v>1196</v>
      </c>
      <c r="C187" s="46">
        <v>2207085.0060000001</v>
      </c>
      <c r="D187" s="46">
        <v>6750288.9869999997</v>
      </c>
      <c r="E187" s="46">
        <v>195.453</v>
      </c>
      <c r="F187" s="46">
        <v>797</v>
      </c>
      <c r="G187" s="52">
        <v>238.67307624254775</v>
      </c>
      <c r="H187" s="46">
        <v>1.0600000000000001</v>
      </c>
      <c r="I187" s="46">
        <v>0.58384199999999997</v>
      </c>
      <c r="J187" s="46">
        <f t="shared" si="128"/>
        <v>-0.47615800000000008</v>
      </c>
      <c r="K187" s="46">
        <f t="shared" si="129"/>
        <v>0.47615800000000008</v>
      </c>
      <c r="L187" s="51">
        <f t="shared" si="103"/>
        <v>72.747553638728562</v>
      </c>
      <c r="M187" s="51">
        <f t="shared" si="104"/>
        <v>0.32308800000000004</v>
      </c>
      <c r="N187" s="51">
        <f t="shared" si="105"/>
        <v>0.1779550416</v>
      </c>
      <c r="O187" s="51">
        <f t="shared" si="106"/>
        <v>-0.14513295840000004</v>
      </c>
      <c r="P187" s="51">
        <f t="shared" si="107"/>
        <v>0.14513295840000004</v>
      </c>
      <c r="Q187" s="52">
        <f t="shared" si="130"/>
        <v>-44.920566037735853</v>
      </c>
      <c r="R187" s="52">
        <f t="shared" si="131"/>
        <v>44.920566037735853</v>
      </c>
      <c r="T187" s="52">
        <v>238.67307624254775</v>
      </c>
      <c r="U187" s="52">
        <v>1.6000000000000001</v>
      </c>
      <c r="V187" s="52">
        <v>1.812643</v>
      </c>
      <c r="W187" s="52">
        <f t="shared" si="132"/>
        <v>0.21264299999999992</v>
      </c>
      <c r="X187" s="52">
        <f t="shared" si="133"/>
        <v>0.21264299999999992</v>
      </c>
      <c r="Y187" s="52">
        <f t="shared" si="109"/>
        <v>72.747553638728562</v>
      </c>
      <c r="Z187" s="52">
        <f t="shared" si="110"/>
        <v>0.48768000000000006</v>
      </c>
      <c r="AA187" s="52">
        <f t="shared" si="111"/>
        <v>0.55249358640000001</v>
      </c>
      <c r="AB187" s="52">
        <f t="shared" si="112"/>
        <v>0.064813586399999984</v>
      </c>
      <c r="AC187" s="52">
        <f t="shared" si="113"/>
        <v>0.064813586399999984</v>
      </c>
      <c r="AD187" s="52">
        <f t="shared" si="134"/>
        <v>13.290187499999995</v>
      </c>
      <c r="AE187" s="52">
        <f t="shared" si="135"/>
        <v>13.290187499999995</v>
      </c>
    </row>
    <row r="188">
      <c r="B188" s="46">
        <v>1197</v>
      </c>
      <c r="C188" s="46">
        <v>2207094.0359999998</v>
      </c>
      <c r="D188" s="46">
        <v>6750287.1330000004</v>
      </c>
      <c r="E188" s="46">
        <v>195.15600000000001</v>
      </c>
      <c r="F188" s="46">
        <v>797</v>
      </c>
      <c r="G188" s="52">
        <v>247.89143922053339</v>
      </c>
      <c r="H188" s="46">
        <v>0.81999999999999995</v>
      </c>
      <c r="I188" s="46">
        <v>0.52671000000000001</v>
      </c>
      <c r="J188" s="46">
        <f t="shared" si="128"/>
        <v>-0.29328999999999994</v>
      </c>
      <c r="K188" s="46">
        <f t="shared" si="129"/>
        <v>0.29328999999999994</v>
      </c>
      <c r="L188" s="51">
        <f t="shared" si="103"/>
        <v>75.557310674418574</v>
      </c>
      <c r="M188" s="51">
        <f t="shared" si="104"/>
        <v>0.24993599999999999</v>
      </c>
      <c r="N188" s="51">
        <f t="shared" si="105"/>
        <v>0.16054120800000002</v>
      </c>
      <c r="O188" s="51">
        <f t="shared" si="106"/>
        <v>-0.089394791999999987</v>
      </c>
      <c r="P188" s="51">
        <f t="shared" si="107"/>
        <v>0.089394791999999987</v>
      </c>
      <c r="Q188" s="52">
        <f t="shared" si="130"/>
        <v>-35.767073170731699</v>
      </c>
      <c r="R188" s="52">
        <f t="shared" si="131"/>
        <v>35.767073170731699</v>
      </c>
      <c r="T188" s="52">
        <v>247.89143922053339</v>
      </c>
      <c r="U188" s="52">
        <v>2.0340959999999999</v>
      </c>
      <c r="V188" s="52">
        <v>1.681511</v>
      </c>
      <c r="W188" s="52">
        <f t="shared" si="132"/>
        <v>-0.35258499999999993</v>
      </c>
      <c r="X188" s="52">
        <f t="shared" si="133"/>
        <v>0.35258499999999993</v>
      </c>
      <c r="Y188" s="52">
        <f t="shared" si="109"/>
        <v>75.557310674418574</v>
      </c>
      <c r="Z188" s="52">
        <f t="shared" si="110"/>
        <v>0.61999246080000003</v>
      </c>
      <c r="AA188" s="52">
        <f t="shared" si="111"/>
        <v>0.51252455279999998</v>
      </c>
      <c r="AB188" s="52">
        <f t="shared" si="112"/>
        <v>-0.10746790799999999</v>
      </c>
      <c r="AC188" s="52">
        <f t="shared" si="113"/>
        <v>0.10746790799999999</v>
      </c>
      <c r="AD188" s="52">
        <f t="shared" si="134"/>
        <v>-17.333744326718104</v>
      </c>
      <c r="AE188" s="52">
        <f t="shared" si="135"/>
        <v>17.333744326718104</v>
      </c>
    </row>
    <row r="189">
      <c r="B189" s="46">
        <v>1198</v>
      </c>
      <c r="C189" s="46">
        <v>2207105.7629999998</v>
      </c>
      <c r="D189" s="46">
        <v>6750285.6979999999</v>
      </c>
      <c r="E189" s="46">
        <v>196.005</v>
      </c>
      <c r="F189" s="46">
        <v>797</v>
      </c>
      <c r="G189" s="52">
        <v>259.70591144744424</v>
      </c>
      <c r="H189" s="46">
        <v>0.51000000000000001</v>
      </c>
      <c r="I189" s="46">
        <v>0.38318799999999997</v>
      </c>
      <c r="J189" s="46">
        <f t="shared" si="128"/>
        <v>-0.12681200000000004</v>
      </c>
      <c r="K189" s="46">
        <f t="shared" si="129"/>
        <v>0.12681200000000004</v>
      </c>
      <c r="L189" s="51">
        <f t="shared" si="103"/>
        <v>79.158361809181002</v>
      </c>
      <c r="M189" s="51">
        <f t="shared" si="104"/>
        <v>0.155448</v>
      </c>
      <c r="N189" s="51">
        <f t="shared" si="105"/>
        <v>0.11679570239999999</v>
      </c>
      <c r="O189" s="51">
        <f t="shared" si="106"/>
        <v>-0.03865229760000001</v>
      </c>
      <c r="P189" s="51">
        <f t="shared" si="107"/>
        <v>0.03865229760000001</v>
      </c>
      <c r="Q189" s="52">
        <f t="shared" si="130"/>
        <v>-24.865098039215695</v>
      </c>
      <c r="R189" s="52">
        <f t="shared" si="131"/>
        <v>24.865098039215695</v>
      </c>
      <c r="T189" s="52">
        <v>259.70591144744424</v>
      </c>
      <c r="U189" s="52">
        <v>1.2</v>
      </c>
      <c r="V189" s="52">
        <v>0.929836</v>
      </c>
      <c r="W189" s="52">
        <f t="shared" si="132"/>
        <v>-0.27016399999999996</v>
      </c>
      <c r="X189" s="52">
        <f t="shared" si="133"/>
        <v>0.27016399999999996</v>
      </c>
      <c r="Y189" s="52">
        <f t="shared" si="109"/>
        <v>79.158361809181002</v>
      </c>
      <c r="Z189" s="52">
        <f t="shared" si="110"/>
        <v>0.36576000000000003</v>
      </c>
      <c r="AA189" s="52">
        <f t="shared" si="111"/>
        <v>0.2834140128</v>
      </c>
      <c r="AB189" s="52">
        <f t="shared" si="112"/>
        <v>-0.082345987199999998</v>
      </c>
      <c r="AC189" s="52">
        <f t="shared" si="113"/>
        <v>0.082345987199999998</v>
      </c>
      <c r="AD189" s="52">
        <f t="shared" si="134"/>
        <v>-22.513666666666666</v>
      </c>
      <c r="AE189" s="52">
        <f t="shared" si="135"/>
        <v>22.513666666666666</v>
      </c>
    </row>
    <row r="190" s="72" customFormat="1">
      <c r="A190" s="75" t="s">
        <v>58</v>
      </c>
      <c r="B190" s="72">
        <v>1201</v>
      </c>
      <c r="C190" s="72">
        <v>2207015.3319999999</v>
      </c>
      <c r="D190" s="72">
        <v>6750623.1679999996</v>
      </c>
      <c r="E190" s="72">
        <v>197.37</v>
      </c>
      <c r="F190" s="72">
        <v>797</v>
      </c>
      <c r="G190" s="74">
        <v>14.012644873905504</v>
      </c>
      <c r="H190" s="72">
        <v>1.76</v>
      </c>
      <c r="I190" s="72">
        <v>1.7049179999999999</v>
      </c>
      <c r="J190" s="72">
        <f t="shared" ref="J190:J200" si="136">I190-H190</f>
        <v>-0.055082000000000075</v>
      </c>
      <c r="K190" s="72">
        <f t="shared" ref="K190:K200" si="137">ABS(J190)</f>
        <v>0.055082000000000075</v>
      </c>
      <c r="L190" s="73">
        <f t="shared" si="103"/>
        <v>4.2710541575663976</v>
      </c>
      <c r="M190" s="73">
        <f t="shared" si="104"/>
        <v>0.53644800000000004</v>
      </c>
      <c r="N190" s="73">
        <f t="shared" si="105"/>
        <v>0.51965900639999996</v>
      </c>
      <c r="O190" s="73">
        <f t="shared" si="106"/>
        <v>-0.016788993600000024</v>
      </c>
      <c r="P190" s="73">
        <f t="shared" si="107"/>
        <v>0.016788993600000024</v>
      </c>
      <c r="Q190" s="74">
        <f t="shared" ref="Q190:Q200" si="138">100*J190/H190</f>
        <v>-3.1296590909090951</v>
      </c>
      <c r="R190" s="74">
        <f t="shared" ref="R190:R200" si="139">ABS(Q190)</f>
        <v>3.1296590909090951</v>
      </c>
      <c r="T190" s="74">
        <v>14.012644873905504</v>
      </c>
      <c r="U190" s="74">
        <v>1.3999999999999999</v>
      </c>
      <c r="V190" s="74">
        <v>1.3913949999999999</v>
      </c>
      <c r="W190" s="74">
        <f t="shared" ref="W190:W200" si="140">V190-U190</f>
        <v>-0.0086049999999999738</v>
      </c>
      <c r="X190" s="74">
        <f t="shared" ref="X190:X200" si="141">ABS(W190)</f>
        <v>0.0086049999999999738</v>
      </c>
      <c r="Y190" s="74">
        <f t="shared" si="109"/>
        <v>4.2710541575663976</v>
      </c>
      <c r="Z190" s="74">
        <f t="shared" si="110"/>
        <v>0.42671999999999999</v>
      </c>
      <c r="AA190" s="74">
        <f t="shared" si="111"/>
        <v>0.42409719600000001</v>
      </c>
      <c r="AB190" s="74">
        <f t="shared" si="112"/>
        <v>-0.002622803999999992</v>
      </c>
      <c r="AC190" s="74">
        <f t="shared" si="113"/>
        <v>0.002622803999999992</v>
      </c>
      <c r="AD190" s="74">
        <f t="shared" ref="AD190:AD200" si="142">100*W190/U190</f>
        <v>-0.61464285714285527</v>
      </c>
      <c r="AE190" s="74">
        <f t="shared" ref="AE190:AE200" si="143">ABS(AD190)</f>
        <v>0.61464285714285527</v>
      </c>
    </row>
    <row r="191">
      <c r="B191" s="46">
        <v>1202</v>
      </c>
      <c r="C191" s="46">
        <v>2207006.9900000002</v>
      </c>
      <c r="D191" s="46">
        <v>6750623.4450000003</v>
      </c>
      <c r="E191" s="46">
        <v>197.21100000000001</v>
      </c>
      <c r="F191" s="46">
        <v>797</v>
      </c>
      <c r="G191" s="52">
        <v>22.359242563719135</v>
      </c>
      <c r="H191" s="46">
        <v>1.9399999999999999</v>
      </c>
      <c r="I191" s="46">
        <v>2.1061969999999999</v>
      </c>
      <c r="J191" s="46">
        <f t="shared" si="136"/>
        <v>0.16619699999999993</v>
      </c>
      <c r="K191" s="46">
        <f t="shared" si="137"/>
        <v>0.16619699999999993</v>
      </c>
      <c r="L191" s="51">
        <f t="shared" si="103"/>
        <v>6.8150971334215926</v>
      </c>
      <c r="M191" s="51">
        <f t="shared" si="104"/>
        <v>0.59131200000000006</v>
      </c>
      <c r="N191" s="51">
        <f t="shared" si="105"/>
        <v>0.6419688456</v>
      </c>
      <c r="O191" s="51">
        <f t="shared" si="106"/>
        <v>0.050656845599999979</v>
      </c>
      <c r="P191" s="51">
        <f t="shared" si="107"/>
        <v>0.050656845599999979</v>
      </c>
      <c r="Q191" s="52">
        <f t="shared" si="138"/>
        <v>8.5668556701030898</v>
      </c>
      <c r="R191" s="52">
        <f t="shared" si="139"/>
        <v>8.5668556701030898</v>
      </c>
      <c r="T191" s="52">
        <v>22.359242563719135</v>
      </c>
      <c r="U191" s="52">
        <v>1.541976</v>
      </c>
      <c r="V191" s="52">
        <v>1.372571</v>
      </c>
      <c r="W191" s="52">
        <f t="shared" si="140"/>
        <v>-0.16940500000000003</v>
      </c>
      <c r="X191" s="52">
        <f t="shared" si="141"/>
        <v>0.16940500000000003</v>
      </c>
      <c r="Y191" s="52">
        <f t="shared" si="109"/>
        <v>6.8150971334215926</v>
      </c>
      <c r="Z191" s="52">
        <f t="shared" si="110"/>
        <v>0.46999428480000005</v>
      </c>
      <c r="AA191" s="52">
        <f t="shared" si="111"/>
        <v>0.41835964080000004</v>
      </c>
      <c r="AB191" s="52">
        <f t="shared" si="112"/>
        <v>-0.051634644000000014</v>
      </c>
      <c r="AC191" s="52">
        <f t="shared" si="113"/>
        <v>0.051634644000000014</v>
      </c>
      <c r="AD191" s="52">
        <f t="shared" si="142"/>
        <v>-10.986228060618325</v>
      </c>
      <c r="AE191" s="52">
        <f t="shared" si="143"/>
        <v>10.986228060618325</v>
      </c>
    </row>
    <row r="192">
      <c r="B192" s="46">
        <v>1203</v>
      </c>
      <c r="C192" s="46">
        <v>2206996.7149999999</v>
      </c>
      <c r="D192" s="46">
        <v>6750623.2230000002</v>
      </c>
      <c r="E192" s="46">
        <v>197.34200000000001</v>
      </c>
      <c r="F192" s="46">
        <v>797</v>
      </c>
      <c r="G192" s="52">
        <v>32.636640532450585</v>
      </c>
      <c r="H192" s="46">
        <v>2.0899999999999999</v>
      </c>
      <c r="I192" s="46">
        <v>2.3010790000000001</v>
      </c>
      <c r="J192" s="46">
        <f t="shared" si="136"/>
        <v>0.21107900000000024</v>
      </c>
      <c r="K192" s="46">
        <f t="shared" si="137"/>
        <v>0.21107900000000024</v>
      </c>
      <c r="L192" s="51">
        <f t="shared" si="103"/>
        <v>9.947648034290939</v>
      </c>
      <c r="M192" s="51">
        <f t="shared" si="104"/>
        <v>0.63703200000000004</v>
      </c>
      <c r="N192" s="51">
        <f t="shared" si="105"/>
        <v>0.70136887920000002</v>
      </c>
      <c r="O192" s="51">
        <f t="shared" si="106"/>
        <v>0.064336879200000072</v>
      </c>
      <c r="P192" s="51">
        <f t="shared" si="107"/>
        <v>0.064336879200000072</v>
      </c>
      <c r="Q192" s="52">
        <f t="shared" si="138"/>
        <v>10.099473684210537</v>
      </c>
      <c r="R192" s="52">
        <f t="shared" si="139"/>
        <v>10.099473684210537</v>
      </c>
      <c r="T192" s="52">
        <v>32.636640532450585</v>
      </c>
      <c r="U192" s="52">
        <v>1.8</v>
      </c>
      <c r="V192" s="52">
        <v>1.2825249999999999</v>
      </c>
      <c r="W192" s="52">
        <f t="shared" si="140"/>
        <v>-0.51747500000000013</v>
      </c>
      <c r="X192" s="52">
        <f t="shared" si="141"/>
        <v>0.51747500000000013</v>
      </c>
      <c r="Y192" s="52">
        <f t="shared" si="109"/>
        <v>9.947648034290939</v>
      </c>
      <c r="Z192" s="52">
        <f t="shared" si="110"/>
        <v>0.54864000000000002</v>
      </c>
      <c r="AA192" s="52">
        <f t="shared" si="111"/>
        <v>0.39091362000000002</v>
      </c>
      <c r="AB192" s="52">
        <f t="shared" si="112"/>
        <v>-0.15772638000000005</v>
      </c>
      <c r="AC192" s="52">
        <f t="shared" si="113"/>
        <v>0.15772638000000005</v>
      </c>
      <c r="AD192" s="52">
        <f t="shared" si="142"/>
        <v>-28.748611111111121</v>
      </c>
      <c r="AE192" s="52">
        <f t="shared" si="143"/>
        <v>28.748611111111121</v>
      </c>
    </row>
    <row r="193">
      <c r="B193" s="46">
        <v>1204</v>
      </c>
      <c r="C193" s="46">
        <v>2206987.4399999999</v>
      </c>
      <c r="D193" s="46">
        <v>6750623.3859999999</v>
      </c>
      <c r="E193" s="46">
        <v>197.04499999999999</v>
      </c>
      <c r="F193" s="46">
        <v>797</v>
      </c>
      <c r="G193" s="52">
        <v>41.913072712883839</v>
      </c>
      <c r="H193" s="46">
        <v>2.1699999999999999</v>
      </c>
      <c r="I193" s="46">
        <v>2.4005390000000002</v>
      </c>
      <c r="J193" s="46">
        <f t="shared" si="136"/>
        <v>0.23053900000000027</v>
      </c>
      <c r="K193" s="46">
        <f t="shared" si="137"/>
        <v>0.23053900000000027</v>
      </c>
      <c r="L193" s="51">
        <f t="shared" si="103"/>
        <v>12.775104562886995</v>
      </c>
      <c r="M193" s="51">
        <f t="shared" si="104"/>
        <v>0.661416</v>
      </c>
      <c r="N193" s="51">
        <f t="shared" si="105"/>
        <v>0.73168428720000012</v>
      </c>
      <c r="O193" s="51">
        <f t="shared" si="106"/>
        <v>0.070268287200000085</v>
      </c>
      <c r="P193" s="51">
        <f t="shared" si="107"/>
        <v>0.070268287200000085</v>
      </c>
      <c r="Q193" s="52">
        <f t="shared" si="138"/>
        <v>10.623917050691258</v>
      </c>
      <c r="R193" s="52">
        <f t="shared" si="139"/>
        <v>10.623917050691258</v>
      </c>
      <c r="T193" s="52">
        <v>41.913072712883839</v>
      </c>
      <c r="U193" s="52">
        <v>1.541976</v>
      </c>
      <c r="V193" s="52">
        <v>1.175192</v>
      </c>
      <c r="W193" s="52">
        <f t="shared" si="140"/>
        <v>-0.366784</v>
      </c>
      <c r="X193" s="52">
        <f t="shared" si="141"/>
        <v>0.366784</v>
      </c>
      <c r="Y193" s="52">
        <f t="shared" si="109"/>
        <v>12.775104562886995</v>
      </c>
      <c r="Z193" s="52">
        <f t="shared" si="110"/>
        <v>0.46999428480000005</v>
      </c>
      <c r="AA193" s="52">
        <f t="shared" si="111"/>
        <v>0.35819852160000004</v>
      </c>
      <c r="AB193" s="52">
        <f t="shared" si="112"/>
        <v>-0.11179576320000001</v>
      </c>
      <c r="AC193" s="52">
        <f t="shared" si="113"/>
        <v>0.11179576320000001</v>
      </c>
      <c r="AD193" s="52">
        <f t="shared" si="142"/>
        <v>-23.786621841066264</v>
      </c>
      <c r="AE193" s="52">
        <f t="shared" si="143"/>
        <v>23.786621841066264</v>
      </c>
    </row>
    <row r="194">
      <c r="B194" s="46">
        <v>1205</v>
      </c>
      <c r="C194" s="46">
        <v>2206976.432</v>
      </c>
      <c r="D194" s="46">
        <v>6750624.2939999998</v>
      </c>
      <c r="E194" s="46">
        <v>196.934</v>
      </c>
      <c r="F194" s="46">
        <v>797</v>
      </c>
      <c r="G194" s="52">
        <v>52.958457631382103</v>
      </c>
      <c r="H194" s="46">
        <v>2.4700000000000002</v>
      </c>
      <c r="I194" s="46">
        <v>2.5313699999999999</v>
      </c>
      <c r="J194" s="46">
        <f t="shared" si="136"/>
        <v>0.061369999999999703</v>
      </c>
      <c r="K194" s="46">
        <f t="shared" si="137"/>
        <v>0.061369999999999703</v>
      </c>
      <c r="L194" s="51">
        <f t="shared" si="103"/>
        <v>16.141737886045266</v>
      </c>
      <c r="M194" s="51">
        <f t="shared" si="104"/>
        <v>0.75285600000000008</v>
      </c>
      <c r="N194" s="51">
        <f t="shared" si="105"/>
        <v>0.77156157599999997</v>
      </c>
      <c r="O194" s="51">
        <f t="shared" si="106"/>
        <v>0.018705575999999911</v>
      </c>
      <c r="P194" s="51">
        <f t="shared" si="107"/>
        <v>0.018705575999999911</v>
      </c>
      <c r="Q194" s="52">
        <f t="shared" si="138"/>
        <v>2.4846153846153722</v>
      </c>
      <c r="R194" s="52">
        <f t="shared" si="139"/>
        <v>2.4846153846153722</v>
      </c>
      <c r="T194" s="52">
        <v>52.958457631382103</v>
      </c>
      <c r="U194" s="52">
        <v>2.1000000000000001</v>
      </c>
      <c r="V194" s="52">
        <v>1.4995810000000001</v>
      </c>
      <c r="W194" s="52">
        <f t="shared" si="140"/>
        <v>-0.60041900000000004</v>
      </c>
      <c r="X194" s="52">
        <f t="shared" si="141"/>
        <v>0.60041900000000004</v>
      </c>
      <c r="Y194" s="52">
        <f t="shared" si="109"/>
        <v>16.141737886045266</v>
      </c>
      <c r="Z194" s="52">
        <f t="shared" si="110"/>
        <v>0.64008000000000009</v>
      </c>
      <c r="AA194" s="52">
        <f t="shared" si="111"/>
        <v>0.45707228880000006</v>
      </c>
      <c r="AB194" s="52">
        <f t="shared" si="112"/>
        <v>-0.18300771120000003</v>
      </c>
      <c r="AC194" s="52">
        <f t="shared" si="113"/>
        <v>0.18300771120000003</v>
      </c>
      <c r="AD194" s="52">
        <f t="shared" si="142"/>
        <v>-28.591380952380955</v>
      </c>
      <c r="AE194" s="52">
        <f t="shared" si="143"/>
        <v>28.591380952380955</v>
      </c>
    </row>
    <row r="195">
      <c r="B195" s="46">
        <v>1206</v>
      </c>
      <c r="C195" s="46">
        <v>2206967.4350000001</v>
      </c>
      <c r="D195" s="46">
        <v>6750625.6830000002</v>
      </c>
      <c r="E195" s="46">
        <v>196.75399999999999</v>
      </c>
      <c r="F195" s="46">
        <v>797</v>
      </c>
      <c r="G195" s="52">
        <v>62.062046484176989</v>
      </c>
      <c r="H195" s="46">
        <v>2.3300000000000001</v>
      </c>
      <c r="I195" s="46">
        <v>2.728332</v>
      </c>
      <c r="J195" s="46">
        <f t="shared" si="136"/>
        <v>0.39833199999999991</v>
      </c>
      <c r="K195" s="46">
        <f t="shared" si="137"/>
        <v>0.39833199999999991</v>
      </c>
      <c r="L195" s="51">
        <f t="shared" si="103"/>
        <v>18.916511768377148</v>
      </c>
      <c r="M195" s="51">
        <f t="shared" si="104"/>
        <v>0.71018400000000004</v>
      </c>
      <c r="N195" s="51">
        <f t="shared" si="105"/>
        <v>0.83159559360000002</v>
      </c>
      <c r="O195" s="51">
        <f t="shared" si="106"/>
        <v>0.12141159359999998</v>
      </c>
      <c r="P195" s="51">
        <f t="shared" si="107"/>
        <v>0.12141159359999998</v>
      </c>
      <c r="Q195" s="52">
        <f t="shared" si="138"/>
        <v>17.095793991416304</v>
      </c>
      <c r="R195" s="52">
        <f t="shared" si="139"/>
        <v>17.095793991416304</v>
      </c>
      <c r="T195" s="52">
        <v>62.062046484176989</v>
      </c>
      <c r="U195" s="52">
        <v>2.13252</v>
      </c>
      <c r="V195" s="52">
        <v>1.671468</v>
      </c>
      <c r="W195" s="52">
        <f t="shared" si="140"/>
        <v>-0.46105200000000002</v>
      </c>
      <c r="X195" s="52">
        <f t="shared" si="141"/>
        <v>0.46105200000000002</v>
      </c>
      <c r="Y195" s="52">
        <f t="shared" si="109"/>
        <v>18.916511768377148</v>
      </c>
      <c r="Z195" s="52">
        <f t="shared" si="110"/>
        <v>0.64999209600000007</v>
      </c>
      <c r="AA195" s="52">
        <f t="shared" si="111"/>
        <v>0.50946344639999996</v>
      </c>
      <c r="AB195" s="52">
        <f t="shared" si="112"/>
        <v>-0.1405286496</v>
      </c>
      <c r="AC195" s="52">
        <f t="shared" si="113"/>
        <v>0.1405286496</v>
      </c>
      <c r="AD195" s="52">
        <f t="shared" si="142"/>
        <v>-21.620055146024423</v>
      </c>
      <c r="AE195" s="52">
        <f t="shared" si="143"/>
        <v>21.620055146024423</v>
      </c>
    </row>
    <row r="196">
      <c r="B196" s="46">
        <v>1207</v>
      </c>
      <c r="C196" s="46">
        <v>2206957.4929999998</v>
      </c>
      <c r="D196" s="46">
        <v>6750625.2390000001</v>
      </c>
      <c r="E196" s="46">
        <v>196.81899999999999</v>
      </c>
      <c r="F196" s="46">
        <v>797</v>
      </c>
      <c r="G196" s="52">
        <v>72.013955848993703</v>
      </c>
      <c r="H196" s="46">
        <v>2.6899999999999999</v>
      </c>
      <c r="I196" s="46">
        <v>2.8706670000000001</v>
      </c>
      <c r="J196" s="46">
        <f t="shared" si="136"/>
        <v>0.18066700000000013</v>
      </c>
      <c r="K196" s="46">
        <f t="shared" si="137"/>
        <v>0.18066700000000013</v>
      </c>
      <c r="L196" s="51">
        <f t="shared" si="103"/>
        <v>21.949853742773282</v>
      </c>
      <c r="M196" s="51">
        <f t="shared" si="104"/>
        <v>0.81991199999999997</v>
      </c>
      <c r="N196" s="51">
        <f t="shared" si="105"/>
        <v>0.87497930160000004</v>
      </c>
      <c r="O196" s="51">
        <f t="shared" si="106"/>
        <v>0.055067301600000042</v>
      </c>
      <c r="P196" s="51">
        <f t="shared" si="107"/>
        <v>0.055067301600000042</v>
      </c>
      <c r="Q196" s="52">
        <f t="shared" si="138"/>
        <v>6.7162453531598558</v>
      </c>
      <c r="R196" s="52">
        <f t="shared" si="139"/>
        <v>6.7162453531598558</v>
      </c>
      <c r="T196" s="52">
        <v>72.013955848993703</v>
      </c>
      <c r="U196" s="52">
        <v>2.1000000000000001</v>
      </c>
      <c r="V196" s="52">
        <v>1.5018590000000001</v>
      </c>
      <c r="W196" s="52">
        <f t="shared" si="140"/>
        <v>-0.59814100000000003</v>
      </c>
      <c r="X196" s="52">
        <f t="shared" si="141"/>
        <v>0.59814100000000003</v>
      </c>
      <c r="Y196" s="52">
        <f t="shared" si="109"/>
        <v>21.949853742773282</v>
      </c>
      <c r="Z196" s="52">
        <f t="shared" si="110"/>
        <v>0.64008000000000009</v>
      </c>
      <c r="AA196" s="52">
        <f t="shared" si="111"/>
        <v>0.45776662320000006</v>
      </c>
      <c r="AB196" s="52">
        <f t="shared" si="112"/>
        <v>-0.18231337680000001</v>
      </c>
      <c r="AC196" s="52">
        <f t="shared" si="113"/>
        <v>0.18231337680000001</v>
      </c>
      <c r="AD196" s="52">
        <f t="shared" si="142"/>
        <v>-28.482904761904763</v>
      </c>
      <c r="AE196" s="52">
        <f t="shared" si="143"/>
        <v>28.482904761904763</v>
      </c>
    </row>
    <row r="197">
      <c r="B197" s="46">
        <v>1208</v>
      </c>
      <c r="C197" s="46">
        <v>2206947.7760000001</v>
      </c>
      <c r="D197" s="46">
        <v>6750626.4539999999</v>
      </c>
      <c r="E197" s="46">
        <v>196.828</v>
      </c>
      <c r="F197" s="46">
        <v>797</v>
      </c>
      <c r="G197" s="52">
        <v>81.806622186312836</v>
      </c>
      <c r="H197" s="46">
        <v>2.0699999999999998</v>
      </c>
      <c r="I197" s="46">
        <v>2.7501910000000001</v>
      </c>
      <c r="J197" s="46">
        <f t="shared" si="136"/>
        <v>0.68019100000000021</v>
      </c>
      <c r="K197" s="46">
        <f t="shared" si="137"/>
        <v>0.68019100000000021</v>
      </c>
      <c r="L197" s="51">
        <f t="shared" si="103"/>
        <v>24.934658442388155</v>
      </c>
      <c r="M197" s="51">
        <f t="shared" si="104"/>
        <v>0.63093599999999994</v>
      </c>
      <c r="N197" s="51">
        <f t="shared" si="105"/>
        <v>0.83825821680000001</v>
      </c>
      <c r="O197" s="51">
        <f t="shared" si="106"/>
        <v>0.20732221680000007</v>
      </c>
      <c r="P197" s="51">
        <f t="shared" si="107"/>
        <v>0.20732221680000007</v>
      </c>
      <c r="Q197" s="52">
        <f t="shared" si="138"/>
        <v>32.859468599033832</v>
      </c>
      <c r="R197" s="52">
        <f t="shared" si="139"/>
        <v>32.859468599033832</v>
      </c>
      <c r="T197" s="52">
        <v>81.806622186312836</v>
      </c>
      <c r="U197" s="52">
        <v>2.0012880000000002</v>
      </c>
      <c r="V197" s="52">
        <v>1.174706</v>
      </c>
      <c r="W197" s="52">
        <f t="shared" si="140"/>
        <v>-0.82658200000000015</v>
      </c>
      <c r="X197" s="52">
        <f t="shared" si="141"/>
        <v>0.82658200000000015</v>
      </c>
      <c r="Y197" s="52">
        <f t="shared" si="109"/>
        <v>24.934658442388155</v>
      </c>
      <c r="Z197" s="52">
        <f t="shared" si="110"/>
        <v>0.60999258240000009</v>
      </c>
      <c r="AA197" s="52">
        <f t="shared" si="111"/>
        <v>0.35805038880000001</v>
      </c>
      <c r="AB197" s="52">
        <f t="shared" si="112"/>
        <v>-0.25194219360000009</v>
      </c>
      <c r="AC197" s="52">
        <f t="shared" si="113"/>
        <v>0.25194219360000009</v>
      </c>
      <c r="AD197" s="52">
        <f t="shared" si="142"/>
        <v>-41.302501189234142</v>
      </c>
      <c r="AE197" s="52">
        <f t="shared" si="143"/>
        <v>41.302501189234142</v>
      </c>
    </row>
    <row r="198">
      <c r="B198" s="46">
        <v>1209</v>
      </c>
      <c r="C198" s="46">
        <v>2206937.287</v>
      </c>
      <c r="D198" s="46">
        <v>6750627.2410000004</v>
      </c>
      <c r="E198" s="46">
        <v>197.40700000000001</v>
      </c>
      <c r="F198" s="46">
        <v>797</v>
      </c>
      <c r="G198" s="52">
        <v>92.325105442086979</v>
      </c>
      <c r="H198" s="46">
        <v>1.71</v>
      </c>
      <c r="I198" s="46">
        <v>2.523828</v>
      </c>
      <c r="J198" s="46">
        <f t="shared" si="136"/>
        <v>0.813828</v>
      </c>
      <c r="K198" s="46">
        <f t="shared" si="137"/>
        <v>0.813828</v>
      </c>
      <c r="L198" s="51">
        <f t="shared" si="103"/>
        <v>28.140692138748111</v>
      </c>
      <c r="M198" s="51">
        <f t="shared" si="104"/>
        <v>0.521208</v>
      </c>
      <c r="N198" s="51">
        <f t="shared" si="105"/>
        <v>0.76926277440000002</v>
      </c>
      <c r="O198" s="51">
        <f t="shared" si="106"/>
        <v>0.24805477440000001</v>
      </c>
      <c r="P198" s="51">
        <f t="shared" si="107"/>
        <v>0.24805477440000001</v>
      </c>
      <c r="Q198" s="52">
        <f t="shared" si="138"/>
        <v>47.59228070175439</v>
      </c>
      <c r="R198" s="52">
        <f t="shared" si="139"/>
        <v>47.59228070175439</v>
      </c>
      <c r="T198" s="52">
        <v>92.325105442086979</v>
      </c>
      <c r="U198" s="52">
        <v>1.1000000000000001</v>
      </c>
      <c r="V198" s="52">
        <v>0.91530999999999996</v>
      </c>
      <c r="W198" s="52">
        <f t="shared" si="140"/>
        <v>-0.18469000000000013</v>
      </c>
      <c r="X198" s="52">
        <f t="shared" si="141"/>
        <v>0.18469000000000013</v>
      </c>
      <c r="Y198" s="52">
        <f t="shared" si="109"/>
        <v>28.140692138748111</v>
      </c>
      <c r="Z198" s="52">
        <f t="shared" si="110"/>
        <v>0.33528000000000002</v>
      </c>
      <c r="AA198" s="52">
        <f t="shared" si="111"/>
        <v>0.27898648799999998</v>
      </c>
      <c r="AB198" s="52">
        <f t="shared" si="112"/>
        <v>-0.056293512000000046</v>
      </c>
      <c r="AC198" s="52">
        <f t="shared" si="113"/>
        <v>0.056293512000000046</v>
      </c>
      <c r="AD198" s="52">
        <f t="shared" si="142"/>
        <v>-16.79000000000001</v>
      </c>
      <c r="AE198" s="52">
        <f t="shared" si="143"/>
        <v>16.79000000000001</v>
      </c>
    </row>
    <row r="199">
      <c r="B199" s="46">
        <v>1210</v>
      </c>
      <c r="C199" s="46">
        <v>2206926.5460000001</v>
      </c>
      <c r="D199" s="46">
        <v>6750627.568</v>
      </c>
      <c r="E199" s="46">
        <v>197.75200000000001</v>
      </c>
      <c r="F199" s="46">
        <v>797</v>
      </c>
      <c r="G199" s="52">
        <v>103.07108189832616</v>
      </c>
      <c r="H199" s="46">
        <v>2.1499999999999999</v>
      </c>
      <c r="I199" s="46">
        <v>2.3107220000000002</v>
      </c>
      <c r="J199" s="46">
        <f t="shared" si="136"/>
        <v>0.16072200000000025</v>
      </c>
      <c r="K199" s="46">
        <f t="shared" si="137"/>
        <v>0.16072200000000025</v>
      </c>
      <c r="L199" s="51">
        <f t="shared" si="103"/>
        <v>31.416065762609815</v>
      </c>
      <c r="M199" s="51">
        <f t="shared" si="104"/>
        <v>0.65532000000000001</v>
      </c>
      <c r="N199" s="51">
        <f t="shared" si="105"/>
        <v>0.70430806560000003</v>
      </c>
      <c r="O199" s="51">
        <f t="shared" si="106"/>
        <v>0.048988065600000082</v>
      </c>
      <c r="P199" s="51">
        <f t="shared" si="107"/>
        <v>0.048988065600000082</v>
      </c>
      <c r="Q199" s="52">
        <f t="shared" si="138"/>
        <v>7.4754418604651276</v>
      </c>
      <c r="R199" s="52">
        <f t="shared" si="139"/>
        <v>7.4754418604651276</v>
      </c>
      <c r="T199" s="52">
        <v>103.07108189832616</v>
      </c>
      <c r="U199" s="52">
        <v>0.80000000000000004</v>
      </c>
      <c r="V199" s="52">
        <v>0.69650299999999998</v>
      </c>
      <c r="W199" s="52">
        <f t="shared" si="140"/>
        <v>-0.10349700000000006</v>
      </c>
      <c r="X199" s="52">
        <f t="shared" si="141"/>
        <v>0.10349700000000006</v>
      </c>
      <c r="Y199" s="52">
        <f t="shared" si="109"/>
        <v>31.416065762609815</v>
      </c>
      <c r="Z199" s="52">
        <f t="shared" si="110"/>
        <v>0.24384000000000003</v>
      </c>
      <c r="AA199" s="52">
        <f t="shared" si="111"/>
        <v>0.21229411440000001</v>
      </c>
      <c r="AB199" s="52">
        <f t="shared" si="112"/>
        <v>-0.031545885600000018</v>
      </c>
      <c r="AC199" s="52">
        <f t="shared" si="113"/>
        <v>0.031545885600000018</v>
      </c>
      <c r="AD199" s="52">
        <f t="shared" si="142"/>
        <v>-12.937125000000007</v>
      </c>
      <c r="AE199" s="52">
        <f t="shared" si="143"/>
        <v>12.937125000000007</v>
      </c>
    </row>
    <row r="200">
      <c r="B200" s="46">
        <v>1211</v>
      </c>
      <c r="C200" s="46">
        <v>2206913.1719999998</v>
      </c>
      <c r="D200" s="46">
        <v>6750628.4119999995</v>
      </c>
      <c r="E200" s="46">
        <v>198.42500000000001</v>
      </c>
      <c r="F200" s="46">
        <v>797</v>
      </c>
      <c r="G200" s="52">
        <v>116.47168681032002</v>
      </c>
      <c r="H200" s="46">
        <v>0.23000000000000001</v>
      </c>
      <c r="I200" s="46">
        <v>2.233616</v>
      </c>
      <c r="J200" s="46">
        <f t="shared" si="136"/>
        <v>2.0036160000000001</v>
      </c>
      <c r="K200" s="46">
        <f t="shared" si="137"/>
        <v>2.0036160000000001</v>
      </c>
      <c r="L200" s="51">
        <f t="shared" si="103"/>
        <v>35.500570139785545</v>
      </c>
      <c r="M200" s="51">
        <f t="shared" si="104"/>
        <v>0.070104</v>
      </c>
      <c r="N200" s="51">
        <f t="shared" si="105"/>
        <v>0.68080615680000001</v>
      </c>
      <c r="O200" s="51">
        <f t="shared" si="106"/>
        <v>0.61070215680000006</v>
      </c>
      <c r="P200" s="51">
        <f t="shared" si="107"/>
        <v>0.61070215680000006</v>
      </c>
      <c r="Q200" s="52">
        <f t="shared" si="138"/>
        <v>871.13739130434783</v>
      </c>
      <c r="R200" s="52">
        <f t="shared" si="139"/>
        <v>871.13739130434783</v>
      </c>
      <c r="T200" s="52">
        <v>116.47168681032002</v>
      </c>
      <c r="U200" s="52">
        <v>0.39369599999999999</v>
      </c>
      <c r="V200" s="52">
        <v>0.402169</v>
      </c>
      <c r="W200" s="52">
        <f t="shared" si="140"/>
        <v>0.0084730000000000083</v>
      </c>
      <c r="X200" s="52">
        <f t="shared" si="141"/>
        <v>0.0084730000000000083</v>
      </c>
      <c r="Y200" s="52">
        <f t="shared" si="109"/>
        <v>35.500570139785545</v>
      </c>
      <c r="Z200" s="52">
        <f t="shared" si="110"/>
        <v>0.1199985408</v>
      </c>
      <c r="AA200" s="52">
        <f t="shared" si="111"/>
        <v>0.12258111120000001</v>
      </c>
      <c r="AB200" s="52">
        <f t="shared" si="112"/>
        <v>0.0025825704000000025</v>
      </c>
      <c r="AC200" s="52">
        <f t="shared" si="113"/>
        <v>0.0025825704000000025</v>
      </c>
      <c r="AD200" s="52">
        <f t="shared" si="142"/>
        <v>2.1521681703649538</v>
      </c>
      <c r="AE200" s="52">
        <f t="shared" si="143"/>
        <v>2.1521681703649538</v>
      </c>
    </row>
    <row r="201" s="72" customFormat="1">
      <c r="A201" s="75" t="s">
        <v>59</v>
      </c>
      <c r="B201" s="72">
        <v>1213</v>
      </c>
      <c r="C201" s="72">
        <v>2207086.3500000001</v>
      </c>
      <c r="D201" s="72">
        <v>6749997.5259999996</v>
      </c>
      <c r="E201" s="72">
        <v>194.613</v>
      </c>
      <c r="F201" s="72">
        <v>797</v>
      </c>
      <c r="G201" s="74">
        <v>11.821247082077518</v>
      </c>
      <c r="H201" s="72">
        <v>3.77</v>
      </c>
      <c r="I201" s="72">
        <v>0.71262599999999998</v>
      </c>
      <c r="J201" s="72">
        <f t="shared" ref="J201:J206" si="144">I201-H201</f>
        <v>-3.0573740000000003</v>
      </c>
      <c r="K201" s="72">
        <f t="shared" ref="K201:K206" si="145">ABS(J201)</f>
        <v>3.0573740000000003</v>
      </c>
      <c r="L201" s="73">
        <f t="shared" ref="L201:L206" si="146">G201*0.3048</f>
        <v>3.6031161106172278</v>
      </c>
      <c r="M201" s="73">
        <f t="shared" ref="M201:M206" si="147">H201*0.3048</f>
        <v>1.1490960000000001</v>
      </c>
      <c r="N201" s="73">
        <f t="shared" ref="N201:N206" si="148">I201*0.3048</f>
        <v>0.2172084048</v>
      </c>
      <c r="O201" s="73">
        <f t="shared" ref="O201:O206" si="149">J201*0.3048</f>
        <v>-0.93188759520000009</v>
      </c>
      <c r="P201" s="73">
        <f t="shared" ref="P201:P206" si="150">K201*0.3048</f>
        <v>0.93188759520000009</v>
      </c>
      <c r="Q201" s="74">
        <f t="shared" ref="Q201:Q206" si="151">100*J201/H201</f>
        <v>-81.09745358090187</v>
      </c>
      <c r="R201" s="74">
        <f t="shared" ref="R201:R206" si="152">ABS(Q201)</f>
        <v>81.09745358090187</v>
      </c>
      <c r="T201" s="74">
        <v>11.821247082077518</v>
      </c>
      <c r="U201" s="74">
        <v>1.3999999999999999</v>
      </c>
      <c r="V201" s="74">
        <v>1.1593070000000001</v>
      </c>
      <c r="W201" s="74">
        <f t="shared" ref="W201:W206" si="153">V201-U201</f>
        <v>-0.24069299999999982</v>
      </c>
      <c r="X201" s="74">
        <f t="shared" ref="X201:X206" si="154">ABS(W201)</f>
        <v>0.24069299999999982</v>
      </c>
      <c r="Y201" s="74">
        <f t="shared" si="109"/>
        <v>3.6031161106172278</v>
      </c>
      <c r="Z201" s="74">
        <f t="shared" si="110"/>
        <v>0.42671999999999999</v>
      </c>
      <c r="AA201" s="74">
        <f t="shared" si="111"/>
        <v>0.35335677360000006</v>
      </c>
      <c r="AB201" s="74">
        <f t="shared" si="112"/>
        <v>-0.073363226399999953</v>
      </c>
      <c r="AC201" s="74">
        <f t="shared" si="113"/>
        <v>0.073363226399999953</v>
      </c>
      <c r="AD201" s="74">
        <f t="shared" ref="AD201:AD206" si="155">100*W201/U201</f>
        <v>-17.192357142857134</v>
      </c>
      <c r="AE201" s="74">
        <f t="shared" ref="AE201:AE206" si="156">ABS(AD201)</f>
        <v>17.192357142857134</v>
      </c>
    </row>
    <row r="202">
      <c r="B202" s="46">
        <v>1214</v>
      </c>
      <c r="C202" s="46">
        <v>2207075.2140000002</v>
      </c>
      <c r="D202" s="46">
        <v>6749994.7549999999</v>
      </c>
      <c r="E202" s="46">
        <v>193.708</v>
      </c>
      <c r="F202" s="46">
        <v>797</v>
      </c>
      <c r="G202" s="52">
        <v>23.296827110864882</v>
      </c>
      <c r="H202" s="46">
        <v>4.46</v>
      </c>
      <c r="I202" s="46">
        <v>4.4756299999999998</v>
      </c>
      <c r="J202" s="46">
        <f t="shared" si="144"/>
        <v>0.015629999999999811</v>
      </c>
      <c r="K202" s="46">
        <f t="shared" si="145"/>
        <v>0.015629999999999811</v>
      </c>
      <c r="L202" s="51">
        <f t="shared" si="146"/>
        <v>7.1008729033916165</v>
      </c>
      <c r="M202" s="51">
        <f t="shared" si="147"/>
        <v>1.3594079999999999</v>
      </c>
      <c r="N202" s="51">
        <f t="shared" si="148"/>
        <v>1.3641720239999999</v>
      </c>
      <c r="O202" s="51">
        <f t="shared" si="149"/>
        <v>0.0047640239999999423</v>
      </c>
      <c r="P202" s="51">
        <f t="shared" si="150"/>
        <v>0.0047640239999999423</v>
      </c>
      <c r="Q202" s="52">
        <f t="shared" si="151"/>
        <v>0.35044843049326929</v>
      </c>
      <c r="R202" s="52">
        <f t="shared" si="152"/>
        <v>0.35044843049326929</v>
      </c>
      <c r="T202" s="52">
        <v>23.296827110864882</v>
      </c>
      <c r="U202" s="52">
        <v>2.3621759999999998</v>
      </c>
      <c r="V202" s="52">
        <v>1.30132</v>
      </c>
      <c r="W202" s="52">
        <f t="shared" si="153"/>
        <v>-1.0608559999999998</v>
      </c>
      <c r="X202" s="52">
        <f t="shared" si="154"/>
        <v>1.0608559999999998</v>
      </c>
      <c r="Y202" s="52">
        <f t="shared" si="109"/>
        <v>7.1008729033916165</v>
      </c>
      <c r="Z202" s="52">
        <f t="shared" si="110"/>
        <v>0.71999124479999999</v>
      </c>
      <c r="AA202" s="52">
        <f t="shared" si="111"/>
        <v>0.39664233600000004</v>
      </c>
      <c r="AB202" s="52">
        <f t="shared" si="112"/>
        <v>-0.32334890879999995</v>
      </c>
      <c r="AC202" s="52">
        <f t="shared" si="113"/>
        <v>0.32334890879999995</v>
      </c>
      <c r="AD202" s="52">
        <f t="shared" si="155"/>
        <v>-44.910116773686632</v>
      </c>
      <c r="AE202" s="52">
        <f t="shared" si="156"/>
        <v>44.910116773686632</v>
      </c>
    </row>
    <row r="203">
      <c r="B203" s="46">
        <v>1215</v>
      </c>
      <c r="C203" s="46">
        <v>2207064.4029999999</v>
      </c>
      <c r="D203" s="46">
        <v>6749991.9060000004</v>
      </c>
      <c r="E203" s="46">
        <v>194.339</v>
      </c>
      <c r="F203" s="46">
        <v>797</v>
      </c>
      <c r="G203" s="52">
        <v>34.476922012147952</v>
      </c>
      <c r="H203" s="46">
        <v>4.1500000000000004</v>
      </c>
      <c r="I203" s="46">
        <v>4.9629669999999999</v>
      </c>
      <c r="J203" s="46">
        <f t="shared" si="144"/>
        <v>0.81296699999999955</v>
      </c>
      <c r="K203" s="46">
        <f t="shared" si="145"/>
        <v>0.81296699999999955</v>
      </c>
      <c r="L203" s="51">
        <f t="shared" si="146"/>
        <v>10.508565829302697</v>
      </c>
      <c r="M203" s="51">
        <f t="shared" si="147"/>
        <v>1.2649200000000003</v>
      </c>
      <c r="N203" s="51">
        <f t="shared" si="148"/>
        <v>1.5127123416000001</v>
      </c>
      <c r="O203" s="51">
        <f t="shared" si="149"/>
        <v>0.24779234159999988</v>
      </c>
      <c r="P203" s="51">
        <f t="shared" si="150"/>
        <v>0.24779234159999988</v>
      </c>
      <c r="Q203" s="52">
        <f t="shared" si="151"/>
        <v>19.589566265060228</v>
      </c>
      <c r="R203" s="52">
        <f t="shared" si="152"/>
        <v>19.589566265060228</v>
      </c>
      <c r="T203" s="52">
        <v>34.476922012147952</v>
      </c>
      <c r="U203" s="52">
        <v>1.6000000000000001</v>
      </c>
      <c r="V203" s="52">
        <v>1.5510139999999999</v>
      </c>
      <c r="W203" s="52">
        <f t="shared" si="153"/>
        <v>-0.048986000000000196</v>
      </c>
      <c r="X203" s="52">
        <f t="shared" si="154"/>
        <v>0.048986000000000196</v>
      </c>
      <c r="Y203" s="52">
        <f t="shared" si="109"/>
        <v>10.508565829302697</v>
      </c>
      <c r="Z203" s="52">
        <f t="shared" si="110"/>
        <v>0.48768000000000006</v>
      </c>
      <c r="AA203" s="52">
        <f t="shared" si="111"/>
        <v>0.47274906719999998</v>
      </c>
      <c r="AB203" s="52">
        <f t="shared" si="112"/>
        <v>-0.01493093280000006</v>
      </c>
      <c r="AC203" s="52">
        <f t="shared" si="113"/>
        <v>0.01493093280000006</v>
      </c>
      <c r="AD203" s="52">
        <f t="shared" si="155"/>
        <v>-3.0616250000000123</v>
      </c>
      <c r="AE203" s="52">
        <f t="shared" si="156"/>
        <v>3.0616250000000123</v>
      </c>
    </row>
    <row r="204">
      <c r="B204" s="46">
        <v>1216</v>
      </c>
      <c r="C204" s="46">
        <v>2207054.2039999999</v>
      </c>
      <c r="D204" s="46">
        <v>6749989.5760000004</v>
      </c>
      <c r="E204" s="46">
        <v>194.27199999999999</v>
      </c>
      <c r="F204" s="46">
        <v>797</v>
      </c>
      <c r="G204" s="52">
        <v>44.93868577361777</v>
      </c>
      <c r="H204" s="46">
        <v>3.2200000000000002</v>
      </c>
      <c r="I204" s="46">
        <v>4.7295160000000003</v>
      </c>
      <c r="J204" s="46">
        <f t="shared" si="144"/>
        <v>1.5095160000000001</v>
      </c>
      <c r="K204" s="46">
        <f t="shared" si="145"/>
        <v>1.5095160000000001</v>
      </c>
      <c r="L204" s="51">
        <f t="shared" si="146"/>
        <v>13.697311423798697</v>
      </c>
      <c r="M204" s="51">
        <f t="shared" si="147"/>
        <v>0.98145600000000011</v>
      </c>
      <c r="N204" s="51">
        <f t="shared" si="148"/>
        <v>1.4415564768000002</v>
      </c>
      <c r="O204" s="51">
        <f t="shared" si="149"/>
        <v>0.46010047680000005</v>
      </c>
      <c r="P204" s="51">
        <f t="shared" si="150"/>
        <v>0.46010047680000005</v>
      </c>
      <c r="Q204" s="52">
        <f t="shared" si="151"/>
        <v>46.879378881987577</v>
      </c>
      <c r="R204" s="52">
        <f t="shared" si="152"/>
        <v>46.879378881987577</v>
      </c>
      <c r="T204" s="52">
        <v>44.93868577361777</v>
      </c>
      <c r="U204" s="52">
        <v>1.8044400000000003</v>
      </c>
      <c r="V204" s="52">
        <v>1.4934810000000001</v>
      </c>
      <c r="W204" s="52">
        <f t="shared" si="153"/>
        <v>-0.31095900000000021</v>
      </c>
      <c r="X204" s="52">
        <f t="shared" si="154"/>
        <v>0.31095900000000021</v>
      </c>
      <c r="Y204" s="52">
        <f t="shared" si="109"/>
        <v>13.697311423798697</v>
      </c>
      <c r="Z204" s="52">
        <f t="shared" si="110"/>
        <v>0.54999331200000012</v>
      </c>
      <c r="AA204" s="52">
        <f t="shared" si="111"/>
        <v>0.45521300880000004</v>
      </c>
      <c r="AB204" s="52">
        <f t="shared" si="112"/>
        <v>-0.094780303200000068</v>
      </c>
      <c r="AC204" s="52">
        <f t="shared" si="113"/>
        <v>0.094780303200000068</v>
      </c>
      <c r="AD204" s="52">
        <f t="shared" si="155"/>
        <v>-17.232991953182161</v>
      </c>
      <c r="AE204" s="52">
        <f t="shared" si="156"/>
        <v>17.232991953182161</v>
      </c>
    </row>
    <row r="205">
      <c r="B205" s="46">
        <v>1217</v>
      </c>
      <c r="C205" s="46">
        <v>2207044.3900000001</v>
      </c>
      <c r="D205" s="46">
        <v>6749987.7740000002</v>
      </c>
      <c r="E205" s="46">
        <v>194.298</v>
      </c>
      <c r="F205" s="46">
        <v>797</v>
      </c>
      <c r="G205" s="52">
        <v>54.916751718288417</v>
      </c>
      <c r="H205" s="46">
        <v>3.4500000000000002</v>
      </c>
      <c r="I205" s="46">
        <v>4.4146159999999997</v>
      </c>
      <c r="J205" s="46">
        <f t="shared" si="144"/>
        <v>0.96461599999999947</v>
      </c>
      <c r="K205" s="46">
        <f t="shared" si="145"/>
        <v>0.96461599999999947</v>
      </c>
      <c r="L205" s="51">
        <f t="shared" si="146"/>
        <v>16.738625923734311</v>
      </c>
      <c r="M205" s="51">
        <f t="shared" si="147"/>
        <v>1.0515600000000001</v>
      </c>
      <c r="N205" s="51">
        <f t="shared" si="148"/>
        <v>1.3455749567999999</v>
      </c>
      <c r="O205" s="51">
        <f t="shared" si="149"/>
        <v>0.29401495679999984</v>
      </c>
      <c r="P205" s="51">
        <f t="shared" si="150"/>
        <v>0.29401495679999984</v>
      </c>
      <c r="Q205" s="52">
        <f t="shared" si="151"/>
        <v>27.959884057970999</v>
      </c>
      <c r="R205" s="52">
        <f t="shared" si="152"/>
        <v>27.959884057970999</v>
      </c>
      <c r="T205" s="52">
        <v>54.916751718288417</v>
      </c>
      <c r="U205" s="52">
        <v>1.5</v>
      </c>
      <c r="V205" s="52">
        <v>1.3439840000000001</v>
      </c>
      <c r="W205" s="52">
        <f t="shared" si="153"/>
        <v>-0.15601599999999993</v>
      </c>
      <c r="X205" s="52">
        <f t="shared" si="154"/>
        <v>0.15601599999999993</v>
      </c>
      <c r="Y205" s="52">
        <f t="shared" ref="Y205:AC206" si="157">T205*0.3048</f>
        <v>16.738625923734311</v>
      </c>
      <c r="Z205" s="52">
        <f t="shared" si="157"/>
        <v>0.45720000000000005</v>
      </c>
      <c r="AA205" s="52">
        <f t="shared" si="157"/>
        <v>0.40964632320000005</v>
      </c>
      <c r="AB205" s="52">
        <f t="shared" si="157"/>
        <v>-0.047553676799999979</v>
      </c>
      <c r="AC205" s="52">
        <f t="shared" si="157"/>
        <v>0.047553676799999979</v>
      </c>
      <c r="AD205" s="52">
        <f t="shared" si="155"/>
        <v>-10.401066666666663</v>
      </c>
      <c r="AE205" s="52">
        <f t="shared" si="156"/>
        <v>10.401066666666663</v>
      </c>
    </row>
    <row r="206">
      <c r="B206" s="46">
        <v>1218</v>
      </c>
      <c r="C206" s="46">
        <v>2207035.4029999999</v>
      </c>
      <c r="D206" s="46">
        <v>6749986.3370000003</v>
      </c>
      <c r="E206" s="46">
        <v>194.10599999999999</v>
      </c>
      <c r="F206" s="46">
        <v>797</v>
      </c>
      <c r="G206" s="52">
        <v>64.017913072935045</v>
      </c>
      <c r="H206" s="46">
        <v>4</v>
      </c>
      <c r="I206" s="46">
        <v>4.3146120000000003</v>
      </c>
      <c r="J206" s="46">
        <f t="shared" si="144"/>
        <v>0.31461200000000034</v>
      </c>
      <c r="K206" s="46">
        <f t="shared" si="145"/>
        <v>0.31461200000000034</v>
      </c>
      <c r="L206" s="51">
        <f t="shared" si="146"/>
        <v>19.512659904630603</v>
      </c>
      <c r="M206" s="51">
        <f t="shared" si="147"/>
        <v>1.2192000000000001</v>
      </c>
      <c r="N206" s="51">
        <f t="shared" si="148"/>
        <v>1.3150937376000003</v>
      </c>
      <c r="O206" s="51">
        <f t="shared" si="149"/>
        <v>0.095893737600000112</v>
      </c>
      <c r="P206" s="51">
        <f t="shared" si="150"/>
        <v>0.095893737600000112</v>
      </c>
      <c r="Q206" s="52">
        <f t="shared" si="151"/>
        <v>7.8653000000000084</v>
      </c>
      <c r="R206" s="52">
        <f t="shared" si="152"/>
        <v>7.8653000000000084</v>
      </c>
      <c r="T206" s="52">
        <v>64.017913072935045</v>
      </c>
      <c r="U206" s="52">
        <v>1.8044400000000003</v>
      </c>
      <c r="V206" s="52">
        <v>1.6990350000000001</v>
      </c>
      <c r="W206" s="52">
        <f t="shared" si="153"/>
        <v>-0.10540500000000019</v>
      </c>
      <c r="X206" s="52">
        <f t="shared" si="154"/>
        <v>0.10540500000000019</v>
      </c>
      <c r="Y206" s="52">
        <f t="shared" si="157"/>
        <v>19.512659904630603</v>
      </c>
      <c r="Z206" s="52">
        <f t="shared" si="157"/>
        <v>0.54999331200000012</v>
      </c>
      <c r="AA206" s="52">
        <f t="shared" si="157"/>
        <v>0.51786586800000001</v>
      </c>
      <c r="AB206" s="52">
        <f t="shared" si="157"/>
        <v>-0.032127444000000061</v>
      </c>
      <c r="AC206" s="52">
        <f t="shared" si="157"/>
        <v>0.032127444000000061</v>
      </c>
      <c r="AD206" s="52">
        <f t="shared" si="155"/>
        <v>-5.8414244862672176</v>
      </c>
      <c r="AE206" s="52">
        <f t="shared" si="156"/>
        <v>5.8414244862672176</v>
      </c>
    </row>
    <row r="207">
      <c r="Q207" s="52"/>
      <c r="R207" s="52"/>
    </row>
    <row r="210">
      <c r="Q210" s="46">
        <f>COUNT(B8:B206)</f>
        <v>199</v>
      </c>
    </row>
    <row r="211">
      <c r="Q211" s="46">
        <f>COUNT(G8:G206)</f>
        <v>199</v>
      </c>
    </row>
  </sheetData>
  <sortState ref="AJ11:AJ20">
    <sortCondition ref="AJ11"/>
  </sortState>
  <mergeCells count="2">
    <mergeCell ref="H6:K6"/>
    <mergeCell ref="U6:X6"/>
  </mergeCells>
  <pageMargins left="0.69999999999999996" right="0.69999999999999996" top="0.75" bottom="0.75" header="0.29999999999999999" footer="0.29999999999999999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>
      <selection activeCell="L8" sqref="L8:P8"/>
    </sheetView>
  </sheetViews>
  <sheetFormatPr defaultRowHeight="15"/>
  <cols>
    <col bestFit="1" customWidth="1" min="2" max="3" width="12"/>
    <col customWidth="1" min="4" max="4" width="13.28515625"/>
    <col customWidth="1" min="5" max="5" width="11.28515625"/>
    <col customWidth="1" min="6" max="6" style="41" width="11.28515625"/>
    <col bestFit="1" customWidth="1" min="7" max="7" style="41" width="11.85546875"/>
    <col customWidth="1" min="8" max="8" style="41" width="11.85546875"/>
    <col customWidth="1" min="9" max="9" style="41" width="16.85546875"/>
    <col customWidth="1" min="10" max="10" style="41" width="11.85546875"/>
    <col customWidth="1" min="11" max="11" style="54" width="1.140625"/>
    <col customWidth="1" min="12" max="12" style="41" width="11.28515625"/>
    <col customWidth="1" min="13" max="13" style="41" width="13.5703125"/>
    <col customWidth="1" min="14" max="14" style="41" width="14.140625"/>
    <col customWidth="1" min="15" max="15" style="41" width="16.85546875"/>
    <col customWidth="1" min="16" max="16" style="41" width="14.140625"/>
    <col customWidth="1" min="17" max="17" width="2.42578125"/>
  </cols>
  <sheetData>
    <row r="1">
      <c r="F1"/>
      <c r="G1"/>
      <c r="H1"/>
      <c r="I1"/>
      <c r="J1"/>
      <c r="K1" s="53"/>
      <c r="L1"/>
      <c r="M1"/>
      <c r="N1"/>
      <c r="O1"/>
      <c r="P1"/>
    </row>
    <row r="2">
      <c r="F2"/>
      <c r="G2" s="79" t="s">
        <v>99</v>
      </c>
      <c r="H2" s="79"/>
      <c r="I2" s="79"/>
      <c r="J2" s="79"/>
      <c r="K2" s="53"/>
      <c r="L2"/>
      <c r="M2" s="79" t="s">
        <v>104</v>
      </c>
      <c r="N2" s="79"/>
      <c r="O2" s="79"/>
      <c r="P2" s="79"/>
    </row>
    <row r="3" ht="30">
      <c r="A3" s="4" t="s">
        <v>0</v>
      </c>
      <c r="B3" s="4" t="s">
        <v>1</v>
      </c>
      <c r="C3" s="4" t="s">
        <v>2</v>
      </c>
      <c r="D3" s="4" t="s">
        <v>3</v>
      </c>
      <c r="E3" s="4" t="s">
        <v>5</v>
      </c>
      <c r="F3" s="43" t="s">
        <v>114</v>
      </c>
      <c r="G3" s="42" t="s">
        <v>115</v>
      </c>
      <c r="H3" s="42" t="s">
        <v>116</v>
      </c>
      <c r="I3" s="42" t="s">
        <v>117</v>
      </c>
      <c r="J3" s="42" t="s">
        <v>118</v>
      </c>
      <c r="L3" s="43" t="s">
        <v>114</v>
      </c>
      <c r="M3" s="42" t="s">
        <v>100</v>
      </c>
      <c r="N3" s="42" t="s">
        <v>103</v>
      </c>
      <c r="O3" s="42" t="s">
        <v>119</v>
      </c>
      <c r="P3" s="42" t="s">
        <v>120</v>
      </c>
    </row>
    <row r="4">
      <c r="A4" s="33" t="s">
        <v>97</v>
      </c>
      <c r="B4" s="4"/>
      <c r="C4" s="4"/>
      <c r="D4" s="4"/>
      <c r="E4" s="4"/>
      <c r="F4" s="43"/>
      <c r="G4" s="42"/>
      <c r="H4" s="42"/>
      <c r="I4" s="42"/>
      <c r="J4" s="42"/>
      <c r="L4" s="43"/>
    </row>
    <row r="5">
      <c r="A5">
        <v>1000</v>
      </c>
      <c r="B5">
        <v>2204126.0989999999</v>
      </c>
      <c r="C5">
        <v>6720658.3700000001</v>
      </c>
      <c r="D5">
        <v>127.3</v>
      </c>
      <c r="E5">
        <v>795</v>
      </c>
      <c r="F5" s="41">
        <v>15.024239381893709</v>
      </c>
      <c r="G5" s="41">
        <v>0.71999999999999997</v>
      </c>
      <c r="H5" s="41">
        <v>1.2730900000000001</v>
      </c>
      <c r="I5" s="41">
        <f t="shared" ref="I5:I23" si="0">H5-G5</f>
        <v>0.55309000000000008</v>
      </c>
      <c r="J5" s="41">
        <f t="shared" ref="J5:J23" si="1">ABS(I5)</f>
        <v>0.55309000000000008</v>
      </c>
      <c r="L5" s="41">
        <v>15.024239381893709</v>
      </c>
      <c r="M5" s="44">
        <v>0.49212</v>
      </c>
      <c r="N5" s="41">
        <v>0.46520499999999998</v>
      </c>
      <c r="O5" s="44">
        <f>N5-M5</f>
        <v>-0.026915000000000022</v>
      </c>
      <c r="P5" s="41">
        <f>ABS(O5)</f>
        <v>0.026915000000000022</v>
      </c>
    </row>
    <row r="6">
      <c r="A6">
        <v>1001</v>
      </c>
      <c r="B6">
        <v>2204119.3300000001</v>
      </c>
      <c r="C6">
        <v>6720666.676</v>
      </c>
      <c r="D6">
        <v>127.28400000000001</v>
      </c>
      <c r="E6">
        <v>795</v>
      </c>
      <c r="F6" s="41">
        <v>25.739135414791335</v>
      </c>
      <c r="G6" s="41">
        <v>1.25</v>
      </c>
      <c r="H6" s="41">
        <v>1.797669</v>
      </c>
      <c r="I6" s="41">
        <f t="shared" si="0"/>
        <v>0.54766899999999996</v>
      </c>
      <c r="J6" s="41">
        <f t="shared" si="1"/>
        <v>0.54766899999999996</v>
      </c>
      <c r="L6" s="41">
        <v>25.739135414791335</v>
      </c>
      <c r="M6" s="44">
        <v>0.72177600000000008</v>
      </c>
      <c r="N6" s="41">
        <v>0.89914099999999997</v>
      </c>
      <c r="O6" s="41">
        <f t="shared" ref="O6:O23" si="2">N6-M6</f>
        <v>0.17736499999999988</v>
      </c>
      <c r="P6" s="41">
        <f t="shared" ref="P6:P23" si="3">ABS(O6)</f>
        <v>0.17736499999999988</v>
      </c>
    </row>
    <row r="7">
      <c r="A7">
        <v>1002</v>
      </c>
      <c r="B7">
        <v>2204112.7119999998</v>
      </c>
      <c r="C7">
        <v>6720672.96</v>
      </c>
      <c r="D7">
        <v>126.76900000000001</v>
      </c>
      <c r="E7">
        <v>795</v>
      </c>
      <c r="F7" s="41">
        <v>34.865283561907745</v>
      </c>
      <c r="G7" s="41">
        <v>1.3500000000000001</v>
      </c>
      <c r="H7" s="41">
        <v>2.1074760000000001</v>
      </c>
      <c r="I7" s="41">
        <f t="shared" si="0"/>
        <v>0.75747600000000004</v>
      </c>
      <c r="J7" s="41">
        <f t="shared" si="1"/>
        <v>0.75747600000000004</v>
      </c>
      <c r="L7" s="41">
        <v>34.865283561907745</v>
      </c>
      <c r="M7" s="44">
        <v>1.0826640000000001</v>
      </c>
      <c r="N7" s="41">
        <v>1.0746340000000001</v>
      </c>
      <c r="O7" s="41">
        <f t="shared" si="2"/>
        <v>-0.0080299999999999816</v>
      </c>
      <c r="P7" s="41">
        <f t="shared" si="3"/>
        <v>0.0080299999999999816</v>
      </c>
    </row>
    <row r="8" ht="14.25" customHeight="1">
      <c r="A8">
        <v>1003</v>
      </c>
      <c r="B8">
        <v>2204105.5589999999</v>
      </c>
      <c r="C8">
        <v>6720680.3119999999</v>
      </c>
      <c r="D8">
        <v>126.88500000000001</v>
      </c>
      <c r="E8">
        <v>795</v>
      </c>
      <c r="F8" s="41">
        <v>45.122832635559959</v>
      </c>
      <c r="G8" s="41">
        <v>1.71</v>
      </c>
      <c r="H8" s="41">
        <v>2.2452429999999999</v>
      </c>
      <c r="I8" s="41">
        <f t="shared" si="0"/>
        <v>0.53524299999999991</v>
      </c>
      <c r="J8" s="41">
        <f t="shared" si="1"/>
        <v>0.53524299999999991</v>
      </c>
      <c r="L8" s="41">
        <v>45.122832635559959</v>
      </c>
      <c r="M8" s="44">
        <f>AVERAGE(M7,M9)</f>
        <v>1.0990680000000002</v>
      </c>
      <c r="N8" s="41">
        <v>1.277992</v>
      </c>
      <c r="O8" s="41">
        <f t="shared" si="2"/>
        <v>0.17892399999999986</v>
      </c>
      <c r="P8" s="41">
        <f t="shared" si="3"/>
        <v>0.17892399999999986</v>
      </c>
    </row>
    <row r="9">
      <c r="A9">
        <v>1004</v>
      </c>
      <c r="B9">
        <v>2204099.7820000001</v>
      </c>
      <c r="C9">
        <v>6720687.574</v>
      </c>
      <c r="D9">
        <v>126.786</v>
      </c>
      <c r="E9">
        <v>795</v>
      </c>
      <c r="F9" s="41">
        <v>54.402400136195233</v>
      </c>
      <c r="G9" s="41">
        <v>1.8</v>
      </c>
      <c r="H9" s="41">
        <v>2.309701</v>
      </c>
      <c r="I9" s="41">
        <f t="shared" si="0"/>
        <v>0.50970099999999996</v>
      </c>
      <c r="J9" s="41">
        <f t="shared" si="1"/>
        <v>0.50970099999999996</v>
      </c>
      <c r="L9" s="41">
        <v>54.402400136195233</v>
      </c>
      <c r="M9" s="44">
        <v>1.1154720000000002</v>
      </c>
      <c r="N9" s="41">
        <v>1.421683</v>
      </c>
      <c r="O9" s="41">
        <f t="shared" si="2"/>
        <v>0.30621099999999979</v>
      </c>
      <c r="P9" s="41">
        <f t="shared" si="3"/>
        <v>0.30621099999999979</v>
      </c>
    </row>
    <row r="10">
      <c r="A10">
        <v>1005</v>
      </c>
      <c r="B10">
        <v>2204093.5690000001</v>
      </c>
      <c r="C10">
        <v>6720695.3130000001</v>
      </c>
      <c r="D10">
        <v>126.31399999999999</v>
      </c>
      <c r="E10">
        <v>795</v>
      </c>
      <c r="F10" s="41">
        <v>64.326788782393223</v>
      </c>
      <c r="G10" s="41">
        <v>2</v>
      </c>
      <c r="H10" s="41">
        <v>2.3128289999999998</v>
      </c>
      <c r="I10" s="41">
        <f t="shared" si="0"/>
        <v>0.3128289999999998</v>
      </c>
      <c r="J10" s="41">
        <f t="shared" si="1"/>
        <v>0.3128289999999998</v>
      </c>
      <c r="L10" s="41">
        <v>64.326788782393223</v>
      </c>
      <c r="M10" s="44">
        <v>1.4763600000000001</v>
      </c>
      <c r="N10" s="41">
        <v>1.6564319999999999</v>
      </c>
      <c r="O10" s="41">
        <f t="shared" si="2"/>
        <v>0.18007199999999979</v>
      </c>
      <c r="P10" s="41">
        <f t="shared" si="3"/>
        <v>0.18007199999999979</v>
      </c>
    </row>
    <row r="11">
      <c r="A11">
        <v>1006</v>
      </c>
      <c r="B11">
        <v>2204087.3429999999</v>
      </c>
      <c r="C11">
        <v>6720702.3420000002</v>
      </c>
      <c r="D11">
        <v>126.256</v>
      </c>
      <c r="E11">
        <v>795</v>
      </c>
      <c r="F11" s="41">
        <v>73.716672541235098</v>
      </c>
      <c r="G11" s="41">
        <v>1.97</v>
      </c>
      <c r="H11" s="41">
        <v>2.3293469999999998</v>
      </c>
      <c r="I11" s="41">
        <f t="shared" si="0"/>
        <v>0.35934699999999986</v>
      </c>
      <c r="J11" s="41">
        <f t="shared" si="1"/>
        <v>0.35934699999999986</v>
      </c>
      <c r="L11" s="41">
        <v>73.716672541235098</v>
      </c>
      <c r="M11" s="44">
        <v>1.7060160000000002</v>
      </c>
      <c r="N11" s="41">
        <v>1.7277549999999999</v>
      </c>
      <c r="O11" s="41">
        <f t="shared" si="2"/>
        <v>0.021738999999999731</v>
      </c>
      <c r="P11" s="41">
        <f t="shared" si="3"/>
        <v>0.021738999999999731</v>
      </c>
    </row>
    <row r="12">
      <c r="A12">
        <v>1007</v>
      </c>
      <c r="B12">
        <v>2204081.27</v>
      </c>
      <c r="C12">
        <v>6720708.8480000002</v>
      </c>
      <c r="D12">
        <v>126.21899999999999</v>
      </c>
      <c r="E12">
        <v>795</v>
      </c>
      <c r="F12" s="41">
        <v>82.616636866947829</v>
      </c>
      <c r="G12" s="41">
        <v>2.2000000000000002</v>
      </c>
      <c r="H12" s="41">
        <v>2.3448920000000002</v>
      </c>
      <c r="I12" s="41">
        <f t="shared" si="0"/>
        <v>0.14489200000000002</v>
      </c>
      <c r="J12" s="41">
        <f t="shared" si="1"/>
        <v>0.14489200000000002</v>
      </c>
      <c r="L12" s="41">
        <v>82.616636866947829</v>
      </c>
      <c r="M12" s="44">
        <v>1.7060160000000002</v>
      </c>
      <c r="N12" s="41">
        <v>1.7921469999999999</v>
      </c>
      <c r="O12" s="41">
        <f t="shared" si="2"/>
        <v>0.086130999999999736</v>
      </c>
      <c r="P12" s="41">
        <f t="shared" si="3"/>
        <v>0.086130999999999736</v>
      </c>
    </row>
    <row r="13">
      <c r="A13">
        <v>1008</v>
      </c>
      <c r="B13">
        <v>2204075.449</v>
      </c>
      <c r="C13">
        <v>6720715.6050000004</v>
      </c>
      <c r="D13">
        <v>126.057</v>
      </c>
      <c r="E13">
        <v>795</v>
      </c>
      <c r="F13" s="41">
        <v>91.535218032294509</v>
      </c>
      <c r="G13" s="41">
        <v>2.1499999999999999</v>
      </c>
      <c r="H13" s="41">
        <v>2.3694959999999998</v>
      </c>
      <c r="I13" s="41">
        <f t="shared" si="0"/>
        <v>0.21949599999999991</v>
      </c>
      <c r="J13" s="41">
        <f t="shared" si="1"/>
        <v>0.21949599999999991</v>
      </c>
      <c r="L13" s="41">
        <v>91.535218032294509</v>
      </c>
      <c r="M13" s="44">
        <v>1.7</v>
      </c>
      <c r="N13" s="41">
        <v>2.04949</v>
      </c>
      <c r="O13" s="41">
        <f t="shared" si="2"/>
        <v>0.34949000000000008</v>
      </c>
      <c r="P13" s="41">
        <f t="shared" si="3"/>
        <v>0.34949000000000008</v>
      </c>
    </row>
    <row r="14">
      <c r="A14">
        <v>1009</v>
      </c>
      <c r="B14">
        <v>2204068.9380000001</v>
      </c>
      <c r="C14">
        <v>6720722.2529999996</v>
      </c>
      <c r="D14">
        <v>125.932</v>
      </c>
      <c r="E14">
        <v>795</v>
      </c>
      <c r="F14" s="41">
        <v>100.84054043334196</v>
      </c>
      <c r="G14" s="41">
        <v>2.3599999999999999</v>
      </c>
      <c r="H14" s="41">
        <v>2.417681</v>
      </c>
      <c r="I14" s="41">
        <f t="shared" si="0"/>
        <v>0.057681000000000093</v>
      </c>
      <c r="J14" s="41">
        <f t="shared" si="1"/>
        <v>0.057681000000000093</v>
      </c>
      <c r="L14" s="41">
        <v>100.84054043334196</v>
      </c>
      <c r="M14" s="44">
        <v>2.0340959999999999</v>
      </c>
      <c r="N14" s="41">
        <v>2.4678499999999999</v>
      </c>
      <c r="O14" s="41">
        <f t="shared" si="2"/>
        <v>0.43375399999999997</v>
      </c>
      <c r="P14" s="41">
        <f t="shared" si="3"/>
        <v>0.43375399999999997</v>
      </c>
    </row>
    <row r="15">
      <c r="A15">
        <v>1010</v>
      </c>
      <c r="B15">
        <v>2204061.952</v>
      </c>
      <c r="C15">
        <v>6720728.8449999997</v>
      </c>
      <c r="D15">
        <v>125.73999999999999</v>
      </c>
      <c r="E15">
        <v>795</v>
      </c>
      <c r="F15" s="41">
        <v>110.44567760065122</v>
      </c>
      <c r="G15" s="41">
        <v>2.7400000000000002</v>
      </c>
      <c r="H15" s="41">
        <v>2.4717630000000002</v>
      </c>
      <c r="I15" s="41">
        <f t="shared" si="0"/>
        <v>-0.26823700000000006</v>
      </c>
      <c r="J15" s="41">
        <f t="shared" si="1"/>
        <v>0.26823700000000006</v>
      </c>
      <c r="L15" s="41">
        <v>110.44567760065122</v>
      </c>
      <c r="M15" s="44">
        <v>2.2000000000000002</v>
      </c>
      <c r="N15" s="41">
        <v>2.3587020000000001</v>
      </c>
      <c r="O15" s="44">
        <f>N15-M15</f>
        <v>0.1587019999999999</v>
      </c>
      <c r="P15" s="41">
        <f t="shared" si="3"/>
        <v>0.1587019999999999</v>
      </c>
    </row>
    <row r="16">
      <c r="A16">
        <v>1011</v>
      </c>
      <c r="B16">
        <v>2204055.9339999999</v>
      </c>
      <c r="C16">
        <v>6720736.2829999998</v>
      </c>
      <c r="D16">
        <v>125.64100000000001</v>
      </c>
      <c r="E16">
        <v>795</v>
      </c>
      <c r="F16" s="41">
        <v>120.01334022028317</v>
      </c>
      <c r="G16" s="41">
        <v>2.6899999999999999</v>
      </c>
      <c r="H16" s="41">
        <v>2.522589</v>
      </c>
      <c r="I16" s="41">
        <f t="shared" si="0"/>
        <v>-0.16741099999999998</v>
      </c>
      <c r="J16" s="41">
        <f t="shared" si="1"/>
        <v>0.16741099999999998</v>
      </c>
      <c r="L16" s="41">
        <v>120.01334022028317</v>
      </c>
      <c r="M16" s="44">
        <v>2.2965599999999999</v>
      </c>
      <c r="N16" s="41">
        <v>2.9182299999999999</v>
      </c>
      <c r="O16" s="41">
        <f t="shared" si="2"/>
        <v>0.62166999999999994</v>
      </c>
      <c r="P16" s="41">
        <f t="shared" si="3"/>
        <v>0.62166999999999994</v>
      </c>
    </row>
    <row r="17">
      <c r="A17">
        <v>1012</v>
      </c>
      <c r="B17">
        <v>2204049.2259999998</v>
      </c>
      <c r="C17">
        <v>6720742.79</v>
      </c>
      <c r="D17">
        <v>125.376</v>
      </c>
      <c r="E17">
        <v>795</v>
      </c>
      <c r="F17" s="41">
        <v>129.35883715753383</v>
      </c>
      <c r="G17" s="41">
        <v>2.6200000000000001</v>
      </c>
      <c r="H17" s="41">
        <v>2.6389779999999998</v>
      </c>
      <c r="I17" s="41">
        <f t="shared" si="0"/>
        <v>0.018977999999999717</v>
      </c>
      <c r="J17" s="41">
        <f t="shared" si="1"/>
        <v>0.018977999999999717</v>
      </c>
      <c r="L17" s="41">
        <v>129.35883715753383</v>
      </c>
      <c r="M17" s="44">
        <v>2.5918320000000001</v>
      </c>
      <c r="N17" s="41">
        <v>3.312017</v>
      </c>
      <c r="O17" s="41">
        <f t="shared" si="2"/>
        <v>0.72018499999999985</v>
      </c>
      <c r="P17" s="41">
        <f t="shared" si="3"/>
        <v>0.72018499999999985</v>
      </c>
    </row>
    <row r="18">
      <c r="A18">
        <v>1013</v>
      </c>
      <c r="B18">
        <v>2204041.8870000001</v>
      </c>
      <c r="C18">
        <v>6720750.2460000003</v>
      </c>
      <c r="D18">
        <v>125.154</v>
      </c>
      <c r="E18">
        <v>795</v>
      </c>
      <c r="F18" s="41">
        <v>139.82080910353721</v>
      </c>
      <c r="G18" s="41">
        <v>2.9500000000000002</v>
      </c>
      <c r="H18" s="41">
        <v>2.6616689999999998</v>
      </c>
      <c r="I18" s="41">
        <f t="shared" si="0"/>
        <v>-0.28833100000000034</v>
      </c>
      <c r="J18" s="41">
        <f t="shared" si="1"/>
        <v>0.28833100000000034</v>
      </c>
      <c r="L18" s="41">
        <v>139.82080910353721</v>
      </c>
      <c r="M18" s="44">
        <v>2.7558720000000001</v>
      </c>
      <c r="N18" s="41">
        <v>2.9796200000000002</v>
      </c>
      <c r="O18" s="41">
        <f t="shared" si="2"/>
        <v>0.22374800000000006</v>
      </c>
      <c r="P18" s="41">
        <f t="shared" si="3"/>
        <v>0.22374800000000006</v>
      </c>
    </row>
    <row r="19">
      <c r="A19">
        <v>1014</v>
      </c>
      <c r="B19">
        <v>2204034.375</v>
      </c>
      <c r="C19">
        <v>6720758.1550000003</v>
      </c>
      <c r="D19">
        <v>125.13</v>
      </c>
      <c r="E19">
        <v>795</v>
      </c>
      <c r="F19" s="41">
        <v>150.72871563968482</v>
      </c>
      <c r="G19" s="41">
        <v>2.9100000000000001</v>
      </c>
      <c r="H19" s="41">
        <v>2.5703930000000001</v>
      </c>
      <c r="I19" s="41">
        <f t="shared" si="0"/>
        <v>-0.33960699999999999</v>
      </c>
      <c r="J19" s="41">
        <f t="shared" si="1"/>
        <v>0.33960699999999999</v>
      </c>
      <c r="L19" s="41">
        <v>150.72871563968482</v>
      </c>
      <c r="M19" s="44">
        <v>2.7000000000000002</v>
      </c>
      <c r="N19" s="41">
        <v>2.9233039999999999</v>
      </c>
      <c r="O19" s="41">
        <f t="shared" si="2"/>
        <v>0.22330399999999972</v>
      </c>
      <c r="P19" s="41">
        <f t="shared" si="3"/>
        <v>0.22330399999999972</v>
      </c>
    </row>
    <row r="20">
      <c r="A20">
        <v>1015</v>
      </c>
      <c r="B20">
        <v>2204026.858</v>
      </c>
      <c r="C20">
        <v>6720766.7659999998</v>
      </c>
      <c r="D20">
        <v>125.53100000000001</v>
      </c>
      <c r="E20">
        <v>795</v>
      </c>
      <c r="F20" s="41">
        <v>162.15914039086732</v>
      </c>
      <c r="G20" s="41">
        <v>2.5299999999999998</v>
      </c>
      <c r="H20" s="41">
        <v>2.2857750000000001</v>
      </c>
      <c r="I20" s="41">
        <f t="shared" si="0"/>
        <v>-0.24422499999999969</v>
      </c>
      <c r="J20" s="41">
        <f t="shared" si="1"/>
        <v>0.24422499999999969</v>
      </c>
      <c r="L20" s="41">
        <v>162.15914039086732</v>
      </c>
      <c r="M20" s="44">
        <v>2.394984</v>
      </c>
      <c r="N20" s="41">
        <v>2.2952569999999999</v>
      </c>
      <c r="O20" s="41">
        <f t="shared" si="2"/>
        <v>-0.099727000000000121</v>
      </c>
      <c r="P20" s="41">
        <f t="shared" si="3"/>
        <v>0.099727000000000121</v>
      </c>
    </row>
    <row r="21">
      <c r="A21">
        <v>1016</v>
      </c>
      <c r="B21">
        <v>2204021.014</v>
      </c>
      <c r="C21">
        <v>6720773.3260000004</v>
      </c>
      <c r="D21">
        <v>125.991</v>
      </c>
      <c r="E21">
        <v>795</v>
      </c>
      <c r="F21" s="41">
        <v>170.9446930773704</v>
      </c>
      <c r="G21" s="41">
        <v>1.98</v>
      </c>
      <c r="H21" s="41">
        <v>1.9373320000000001</v>
      </c>
      <c r="I21" s="41">
        <f t="shared" si="0"/>
        <v>-0.042667999999999928</v>
      </c>
      <c r="J21" s="41">
        <f t="shared" si="1"/>
        <v>0.042667999999999928</v>
      </c>
      <c r="L21" s="41">
        <v>170.9446930773704</v>
      </c>
      <c r="M21" s="44">
        <v>1.75</v>
      </c>
      <c r="N21" s="41">
        <v>1.8016840000000001</v>
      </c>
      <c r="O21" s="41">
        <f t="shared" si="2"/>
        <v>0.051684000000000063</v>
      </c>
      <c r="P21" s="41">
        <f t="shared" si="3"/>
        <v>0.051684000000000063</v>
      </c>
    </row>
    <row r="22">
      <c r="A22">
        <v>1017</v>
      </c>
      <c r="B22">
        <v>2204014.8640000001</v>
      </c>
      <c r="C22">
        <v>6720780.9560000002</v>
      </c>
      <c r="D22">
        <v>126.66</v>
      </c>
      <c r="E22">
        <v>795</v>
      </c>
      <c r="F22" s="41">
        <v>180.74466246493225</v>
      </c>
      <c r="G22" s="41">
        <v>1.1100000000000001</v>
      </c>
      <c r="H22" s="41">
        <v>1.463214</v>
      </c>
      <c r="I22" s="41">
        <f t="shared" si="0"/>
        <v>0.35321399999999992</v>
      </c>
      <c r="J22" s="41">
        <f t="shared" si="1"/>
        <v>0.35321399999999992</v>
      </c>
      <c r="L22" s="41">
        <v>180.74466246493225</v>
      </c>
      <c r="M22" s="44">
        <v>1.1499999999999999</v>
      </c>
      <c r="N22" s="41">
        <v>1.2494700000000001</v>
      </c>
      <c r="O22" s="41">
        <f t="shared" si="2"/>
        <v>0.099470000000000169</v>
      </c>
      <c r="P22" s="41">
        <f t="shared" si="3"/>
        <v>0.099470000000000169</v>
      </c>
    </row>
    <row r="23">
      <c r="A23">
        <v>1018</v>
      </c>
      <c r="B23">
        <v>2204008.6639999999</v>
      </c>
      <c r="C23">
        <v>6720788.2889999999</v>
      </c>
      <c r="D23">
        <v>127.255</v>
      </c>
      <c r="E23">
        <v>795</v>
      </c>
      <c r="F23" s="41">
        <v>190.34741670509456</v>
      </c>
      <c r="G23" s="41">
        <v>0.46000000000000002</v>
      </c>
      <c r="H23" s="41">
        <v>0.89347100000000002</v>
      </c>
      <c r="I23" s="41">
        <f t="shared" si="0"/>
        <v>0.433471</v>
      </c>
      <c r="J23" s="41">
        <f t="shared" si="1"/>
        <v>0.433471</v>
      </c>
      <c r="L23" s="41">
        <v>190.34741670509456</v>
      </c>
      <c r="M23" s="44">
        <v>0.62335200000000002</v>
      </c>
      <c r="N23" s="41">
        <v>0.70343599999999995</v>
      </c>
      <c r="O23" s="41">
        <f t="shared" si="2"/>
        <v>0.080083999999999933</v>
      </c>
      <c r="P23" s="41">
        <f t="shared" si="3"/>
        <v>0.080083999999999933</v>
      </c>
    </row>
    <row r="24">
      <c r="A24" s="1" t="s">
        <v>38</v>
      </c>
      <c r="F24" s="45"/>
      <c r="L24" s="45"/>
      <c r="M24" s="44"/>
    </row>
    <row r="25">
      <c r="A25">
        <v>1019</v>
      </c>
      <c r="B25">
        <v>2204483.8590000002</v>
      </c>
      <c r="C25">
        <v>6722002.5580000002</v>
      </c>
      <c r="D25">
        <v>130.73099999999999</v>
      </c>
      <c r="E25">
        <v>795</v>
      </c>
      <c r="F25" s="45">
        <v>5.8108010637132246</v>
      </c>
      <c r="G25" s="41">
        <v>0.84999999999999998</v>
      </c>
      <c r="H25" s="41">
        <v>0.79141499999999998</v>
      </c>
      <c r="I25" s="41">
        <f>H25-G25</f>
        <v>-0.058584999999999998</v>
      </c>
      <c r="J25" s="41">
        <f>ABS(I25)</f>
        <v>0.058584999999999998</v>
      </c>
      <c r="L25" s="45">
        <v>5.8108010637132246</v>
      </c>
      <c r="M25" s="44">
        <v>0.59054399999999996</v>
      </c>
      <c r="N25" s="41">
        <v>0.63334999999999997</v>
      </c>
      <c r="O25" s="41">
        <f>N25-M25</f>
        <v>0.042806000000000011</v>
      </c>
      <c r="P25" s="41">
        <f>ABS(O25)</f>
        <v>0.042806000000000011</v>
      </c>
    </row>
    <row r="26">
      <c r="A26">
        <v>1020</v>
      </c>
      <c r="B26">
        <v>2204488.6639999999</v>
      </c>
      <c r="C26">
        <v>6722001.3959999997</v>
      </c>
      <c r="D26">
        <v>130.41999999999999</v>
      </c>
      <c r="E26">
        <v>795</v>
      </c>
      <c r="F26" s="45">
        <v>10.754308826248261</v>
      </c>
      <c r="G26" s="41">
        <v>1.3799999999999999</v>
      </c>
      <c r="H26" s="41">
        <v>0.96745499999999995</v>
      </c>
      <c r="I26" s="41">
        <f t="shared" ref="I26:I33" si="4">H26-G26</f>
        <v>-0.41254499999999994</v>
      </c>
      <c r="J26" s="41">
        <f t="shared" ref="J26:J33" si="5">ABS(I26)</f>
        <v>0.41254499999999994</v>
      </c>
      <c r="L26" s="45">
        <v>10.754308826248261</v>
      </c>
      <c r="M26" s="44">
        <v>1.05</v>
      </c>
      <c r="N26" s="41">
        <v>0.87918600000000002</v>
      </c>
      <c r="O26" s="41">
        <f t="shared" ref="O26:O33" si="6">N26-M26</f>
        <v>-0.17081400000000002</v>
      </c>
      <c r="P26" s="41">
        <f t="shared" ref="P26:P33" si="7">ABS(O26)</f>
        <v>0.17081400000000002</v>
      </c>
    </row>
    <row r="27">
      <c r="A27">
        <v>1021</v>
      </c>
      <c r="B27">
        <v>2204497.102</v>
      </c>
      <c r="C27">
        <v>6722000.2489999998</v>
      </c>
      <c r="D27">
        <v>130.19300000000001</v>
      </c>
      <c r="E27">
        <v>795</v>
      </c>
      <c r="F27" s="45">
        <v>19.269909392333403</v>
      </c>
      <c r="G27" s="41">
        <v>1.21</v>
      </c>
      <c r="H27" s="41">
        <v>1.19658</v>
      </c>
      <c r="I27" s="41">
        <f t="shared" si="4"/>
        <v>-0.013419999999999987</v>
      </c>
      <c r="J27" s="41">
        <f t="shared" si="5"/>
        <v>0.013419999999999987</v>
      </c>
      <c r="L27" s="45">
        <v>19.269909392333403</v>
      </c>
      <c r="M27" s="44">
        <v>1.410744</v>
      </c>
      <c r="N27" s="41">
        <v>1.2206399999999999</v>
      </c>
      <c r="O27" s="41">
        <f t="shared" si="6"/>
        <v>-0.19010400000000005</v>
      </c>
      <c r="P27" s="41">
        <f t="shared" si="7"/>
        <v>0.19010400000000005</v>
      </c>
    </row>
    <row r="28">
      <c r="A28">
        <v>1022</v>
      </c>
      <c r="B28">
        <v>2204502.7689999999</v>
      </c>
      <c r="C28">
        <v>6721999.7609999999</v>
      </c>
      <c r="D28">
        <v>130.09700000000001</v>
      </c>
      <c r="E28">
        <v>795</v>
      </c>
      <c r="F28" s="45">
        <v>24.957882053902566</v>
      </c>
      <c r="G28" s="41">
        <v>1.49</v>
      </c>
      <c r="H28" s="41">
        <v>1.321453</v>
      </c>
      <c r="I28" s="41">
        <f t="shared" si="4"/>
        <v>-0.168547</v>
      </c>
      <c r="J28" s="41">
        <f t="shared" si="5"/>
        <v>0.168547</v>
      </c>
      <c r="L28" s="45">
        <v>24.957882053902566</v>
      </c>
      <c r="M28" s="44">
        <v>1.3999999999999999</v>
      </c>
      <c r="N28" s="41">
        <v>1.4497720000000001</v>
      </c>
      <c r="O28" s="41">
        <f t="shared" si="6"/>
        <v>0.049772000000000149</v>
      </c>
      <c r="P28" s="41">
        <f t="shared" si="7"/>
        <v>0.049772000000000149</v>
      </c>
    </row>
    <row r="29">
      <c r="A29">
        <v>1023</v>
      </c>
      <c r="B29">
        <v>2204509.5460000001</v>
      </c>
      <c r="C29">
        <v>6721998.6629999997</v>
      </c>
      <c r="D29">
        <v>130.256</v>
      </c>
      <c r="E29">
        <v>795</v>
      </c>
      <c r="F29" s="45">
        <v>31.823254076137651</v>
      </c>
      <c r="G29" s="41">
        <v>1.25</v>
      </c>
      <c r="H29" s="41">
        <v>1.385759</v>
      </c>
      <c r="I29" s="41">
        <f t="shared" si="4"/>
        <v>0.13575899999999996</v>
      </c>
      <c r="J29" s="41">
        <f t="shared" si="5"/>
        <v>0.13575899999999996</v>
      </c>
      <c r="L29" s="45">
        <v>31.823254076137651</v>
      </c>
      <c r="M29" s="44">
        <v>1.14828</v>
      </c>
      <c r="N29" s="41">
        <v>1.6634910000000001</v>
      </c>
      <c r="O29" s="41">
        <f t="shared" si="6"/>
        <v>0.51521100000000009</v>
      </c>
      <c r="P29" s="41">
        <f t="shared" si="7"/>
        <v>0.51521100000000009</v>
      </c>
    </row>
    <row r="30">
      <c r="A30">
        <v>1024</v>
      </c>
      <c r="B30">
        <v>2204516.3020000001</v>
      </c>
      <c r="C30">
        <v>6721997.4380000001</v>
      </c>
      <c r="D30">
        <v>130.417</v>
      </c>
      <c r="E30">
        <v>795</v>
      </c>
      <c r="F30" s="45">
        <v>38.689414648087016</v>
      </c>
      <c r="G30" s="41">
        <v>1.1100000000000001</v>
      </c>
      <c r="H30" s="41">
        <v>1.334954</v>
      </c>
      <c r="I30" s="41">
        <f t="shared" si="4"/>
        <v>0.22495399999999988</v>
      </c>
      <c r="J30" s="41">
        <f t="shared" si="5"/>
        <v>0.22495399999999988</v>
      </c>
      <c r="L30" s="45">
        <v>38.689414648087016</v>
      </c>
      <c r="M30" s="44">
        <v>1.1000000000000001</v>
      </c>
      <c r="N30" s="41">
        <v>1.89131</v>
      </c>
      <c r="O30" s="41">
        <f t="shared" si="6"/>
        <v>0.79130999999999996</v>
      </c>
      <c r="P30" s="41">
        <f t="shared" si="7"/>
        <v>0.79130999999999996</v>
      </c>
    </row>
    <row r="31">
      <c r="A31">
        <v>1025</v>
      </c>
      <c r="B31">
        <v>2204523.3769999999</v>
      </c>
      <c r="C31">
        <v>6721997.6320000002</v>
      </c>
      <c r="D31">
        <v>130.53299999999999</v>
      </c>
      <c r="E31">
        <v>795</v>
      </c>
      <c r="F31" s="45">
        <v>45.767073936022442</v>
      </c>
      <c r="G31" s="41">
        <v>0.62</v>
      </c>
      <c r="H31" s="41">
        <v>1.1993689999999999</v>
      </c>
      <c r="I31" s="41">
        <f t="shared" si="4"/>
        <v>0.57936899999999991</v>
      </c>
      <c r="J31" s="41">
        <f t="shared" si="5"/>
        <v>0.57936899999999991</v>
      </c>
      <c r="L31" s="45">
        <v>45.767073936022442</v>
      </c>
      <c r="M31" s="44">
        <v>0.95143199999999994</v>
      </c>
      <c r="N31" s="41">
        <v>1.8474790000000001</v>
      </c>
      <c r="O31" s="41">
        <f t="shared" si="6"/>
        <v>0.89604700000000015</v>
      </c>
      <c r="P31" s="41">
        <f t="shared" si="7"/>
        <v>0.89604700000000015</v>
      </c>
    </row>
    <row r="32">
      <c r="A32">
        <v>1026</v>
      </c>
      <c r="B32">
        <v>2204529.9199999999</v>
      </c>
      <c r="C32">
        <v>6721997.1730000004</v>
      </c>
      <c r="D32">
        <v>130.72800000000001</v>
      </c>
      <c r="E32">
        <v>795</v>
      </c>
      <c r="F32" s="45">
        <v>52.326153902042378</v>
      </c>
      <c r="G32" s="41">
        <v>0.46000000000000002</v>
      </c>
      <c r="H32" s="41">
        <v>1.033128</v>
      </c>
      <c r="I32" s="41">
        <f t="shared" si="4"/>
        <v>0.57312800000000008</v>
      </c>
      <c r="J32" s="41">
        <f t="shared" si="5"/>
        <v>0.57312800000000008</v>
      </c>
      <c r="L32" s="45">
        <v>52.326153902042378</v>
      </c>
      <c r="M32" s="44">
        <v>0.65000000000000002</v>
      </c>
      <c r="N32" s="41">
        <v>1.5861339999999999</v>
      </c>
      <c r="O32" s="41">
        <f t="shared" si="6"/>
        <v>0.93613399999999991</v>
      </c>
      <c r="P32" s="41">
        <f t="shared" si="7"/>
        <v>0.93613399999999991</v>
      </c>
    </row>
    <row r="33">
      <c r="A33">
        <v>1027</v>
      </c>
      <c r="B33">
        <v>2204536.5690000001</v>
      </c>
      <c r="C33">
        <v>6721996.8859999999</v>
      </c>
      <c r="D33">
        <v>130.85499999999999</v>
      </c>
      <c r="E33">
        <v>795</v>
      </c>
      <c r="F33" s="45">
        <v>58.98134510914138</v>
      </c>
      <c r="G33" s="41">
        <v>0.20000000000000001</v>
      </c>
      <c r="H33" s="41">
        <v>0.84806800000000004</v>
      </c>
      <c r="I33" s="41">
        <f t="shared" si="4"/>
        <v>0.64806800000000009</v>
      </c>
      <c r="J33" s="41">
        <f t="shared" si="5"/>
        <v>0.64806800000000009</v>
      </c>
      <c r="L33" s="45">
        <v>58.98134510914138</v>
      </c>
      <c r="M33" s="44">
        <v>0.49212</v>
      </c>
      <c r="N33" s="41">
        <v>1.2656879999999999</v>
      </c>
      <c r="O33" s="41">
        <f t="shared" si="6"/>
        <v>0.77356799999999992</v>
      </c>
      <c r="P33" s="41">
        <f t="shared" si="7"/>
        <v>0.77356799999999992</v>
      </c>
    </row>
    <row r="34">
      <c r="A34" s="1" t="s">
        <v>44</v>
      </c>
      <c r="F34" s="45"/>
      <c r="L34" s="45"/>
      <c r="M34" s="44"/>
    </row>
    <row r="35">
      <c r="A35">
        <v>1028</v>
      </c>
      <c r="B35">
        <v>2204853.0520000001</v>
      </c>
      <c r="C35">
        <v>6722396.1169999996</v>
      </c>
      <c r="D35">
        <v>130.029</v>
      </c>
      <c r="E35">
        <v>795</v>
      </c>
      <c r="F35" s="45">
        <v>12.147359631025024</v>
      </c>
      <c r="G35" s="41">
        <v>0.84999999999999998</v>
      </c>
      <c r="H35" s="41">
        <v>3.5254189999999999</v>
      </c>
      <c r="I35" s="41">
        <f>H35-G35</f>
        <v>2.6754189999999998</v>
      </c>
      <c r="J35" s="41">
        <f>ABS(I35)</f>
        <v>2.6754189999999998</v>
      </c>
      <c r="L35" s="45">
        <v>12.147359631025024</v>
      </c>
      <c r="M35" s="44">
        <v>0.88581600000000005</v>
      </c>
      <c r="N35" s="41">
        <v>1.183292</v>
      </c>
      <c r="O35" s="41">
        <f>N35-M35</f>
        <v>0.29747599999999996</v>
      </c>
      <c r="P35" s="41">
        <f>ABS(O35)</f>
        <v>0.29747599999999996</v>
      </c>
    </row>
    <row r="36">
      <c r="A36">
        <v>1029</v>
      </c>
      <c r="B36">
        <v>2204858.0589999999</v>
      </c>
      <c r="C36">
        <v>6722397.4550000001</v>
      </c>
      <c r="D36">
        <v>129.70400000000001</v>
      </c>
      <c r="E36">
        <v>795</v>
      </c>
      <c r="F36" s="45">
        <v>17.330051306083146</v>
      </c>
      <c r="G36" s="41">
        <v>1.3300000000000001</v>
      </c>
      <c r="H36" s="41">
        <v>3.8162199999999999</v>
      </c>
      <c r="I36" s="41">
        <f>H36-G36</f>
        <v>2.4862199999999999</v>
      </c>
      <c r="J36" s="41">
        <f>ABS(I36)</f>
        <v>2.4862199999999999</v>
      </c>
      <c r="L36" s="45">
        <v>17.330051306083146</v>
      </c>
      <c r="M36" s="44">
        <v>1.1499999999999999</v>
      </c>
      <c r="N36" s="41">
        <v>1.3619049999999999</v>
      </c>
      <c r="O36" s="41">
        <f>N36-M36</f>
        <v>0.21190500000000001</v>
      </c>
      <c r="P36" s="41">
        <f>ABS(O36)</f>
        <v>0.21190500000000001</v>
      </c>
    </row>
    <row r="37">
      <c r="A37">
        <v>1030</v>
      </c>
      <c r="B37">
        <v>2204864.6150000002</v>
      </c>
      <c r="C37">
        <v>6722398.324</v>
      </c>
      <c r="D37">
        <v>128.816</v>
      </c>
      <c r="E37">
        <v>795</v>
      </c>
      <c r="F37" s="45">
        <v>23.943393653509041</v>
      </c>
      <c r="G37" s="41">
        <v>2.2999999999999998</v>
      </c>
      <c r="H37" s="41">
        <v>4.1330730000000004</v>
      </c>
      <c r="I37" s="41">
        <f>H37-G37</f>
        <v>1.8330730000000006</v>
      </c>
      <c r="J37" s="41">
        <f>ABS(I37)</f>
        <v>1.8330730000000006</v>
      </c>
      <c r="L37" s="45">
        <v>23.943393653509041</v>
      </c>
      <c r="M37" s="44">
        <v>2.1981360000000003</v>
      </c>
      <c r="N37" s="41">
        <v>1.5963400000000001</v>
      </c>
      <c r="O37" s="41">
        <f>N37-M37</f>
        <v>-0.60179600000000022</v>
      </c>
      <c r="P37" s="41">
        <f>ABS(O37)</f>
        <v>0.60179600000000022</v>
      </c>
    </row>
    <row r="38">
      <c r="A38">
        <v>1032</v>
      </c>
      <c r="B38">
        <v>2204871.429</v>
      </c>
      <c r="C38">
        <v>6722399.2680000002</v>
      </c>
      <c r="D38">
        <v>128.46899999999999</v>
      </c>
      <c r="E38">
        <v>795</v>
      </c>
      <c r="F38" s="45">
        <v>30.822472952169427</v>
      </c>
      <c r="G38" s="41">
        <v>3.3399999999999999</v>
      </c>
      <c r="H38" s="41">
        <v>4.3266710000000002</v>
      </c>
      <c r="I38" s="41">
        <f>H38-G38</f>
        <v>0.9866710000000003</v>
      </c>
      <c r="J38" s="41">
        <f>ABS(I38)</f>
        <v>0.9866710000000003</v>
      </c>
      <c r="L38" s="45">
        <v>30.822472952169427</v>
      </c>
      <c r="M38" s="44">
        <v>2.7999999999999998</v>
      </c>
      <c r="N38" s="41">
        <v>1.87218</v>
      </c>
      <c r="O38" s="41">
        <f>N38-M38</f>
        <v>-0.92781999999999987</v>
      </c>
      <c r="P38" s="41">
        <f>ABS(O38)</f>
        <v>0.92781999999999987</v>
      </c>
    </row>
    <row r="39">
      <c r="A39" s="1" t="s">
        <v>46</v>
      </c>
      <c r="F39" s="45"/>
      <c r="L39" s="45"/>
      <c r="M39" s="44"/>
    </row>
    <row r="40">
      <c r="A40">
        <v>1033</v>
      </c>
      <c r="B40">
        <v>2204799.8760000002</v>
      </c>
      <c r="C40">
        <v>6722572.1160000004</v>
      </c>
      <c r="D40">
        <v>132.16999999999999</v>
      </c>
      <c r="E40">
        <v>795</v>
      </c>
      <c r="F40" s="45">
        <v>7.6859998704795434</v>
      </c>
      <c r="G40" s="41">
        <v>1.05</v>
      </c>
      <c r="H40" s="41">
        <v>1.9285699999999999</v>
      </c>
      <c r="I40" s="41">
        <f t="shared" ref="I40:I54" si="8">H40-G40</f>
        <v>0.87856999999999985</v>
      </c>
      <c r="J40" s="41">
        <f t="shared" ref="J40:J54" si="9">ABS(I40)</f>
        <v>0.87856999999999985</v>
      </c>
      <c r="L40" s="45">
        <v>7.6859998704795434</v>
      </c>
      <c r="M40" s="44">
        <v>0.42650400000000005</v>
      </c>
      <c r="N40" s="41">
        <v>0.71050599999999997</v>
      </c>
      <c r="O40" s="41">
        <f t="shared" ref="O40:O54" si="10">N40-M40</f>
        <v>0.28400199999999992</v>
      </c>
      <c r="P40" s="41">
        <f t="shared" ref="P40:P54" si="11">ABS(O40)</f>
        <v>0.28400199999999992</v>
      </c>
    </row>
    <row r="41">
      <c r="A41">
        <v>1034</v>
      </c>
      <c r="B41">
        <v>2204806.7790000001</v>
      </c>
      <c r="C41">
        <v>6722573.102</v>
      </c>
      <c r="D41">
        <v>131.62299999999999</v>
      </c>
      <c r="E41">
        <v>795</v>
      </c>
      <c r="F41" s="45">
        <v>14.659062683779169</v>
      </c>
      <c r="G41" s="41">
        <v>1.8200000000000001</v>
      </c>
      <c r="H41" s="41">
        <v>2.4349120000000002</v>
      </c>
      <c r="I41" s="41">
        <f t="shared" si="8"/>
        <v>0.61491200000000013</v>
      </c>
      <c r="J41" s="41">
        <f t="shared" si="9"/>
        <v>0.61491200000000013</v>
      </c>
      <c r="L41" s="45">
        <v>14.659062683779169</v>
      </c>
      <c r="M41" s="44">
        <v>0.94999999999999996</v>
      </c>
      <c r="N41" s="41">
        <v>0.97683500000000001</v>
      </c>
      <c r="O41" s="41">
        <f t="shared" si="10"/>
        <v>0.026835000000000053</v>
      </c>
      <c r="P41" s="41">
        <f t="shared" si="11"/>
        <v>0.026835000000000053</v>
      </c>
    </row>
    <row r="42">
      <c r="A42">
        <v>1035</v>
      </c>
      <c r="B42">
        <v>2204813.4980000001</v>
      </c>
      <c r="C42">
        <v>6722574.4519999996</v>
      </c>
      <c r="D42">
        <v>131.47</v>
      </c>
      <c r="E42">
        <v>795</v>
      </c>
      <c r="F42" s="45">
        <v>21.512343722781207</v>
      </c>
      <c r="G42" s="41">
        <v>2.3999999999999999</v>
      </c>
      <c r="H42" s="41">
        <v>2.8398919999999999</v>
      </c>
      <c r="I42" s="41">
        <f t="shared" si="8"/>
        <v>0.43989199999999995</v>
      </c>
      <c r="J42" s="41">
        <f t="shared" si="9"/>
        <v>0.43989199999999995</v>
      </c>
      <c r="L42" s="45">
        <v>21.512343722781207</v>
      </c>
      <c r="M42" s="44">
        <v>0.95143199999999994</v>
      </c>
      <c r="N42" s="41">
        <v>1.2322040000000001</v>
      </c>
      <c r="O42" s="41">
        <f t="shared" si="10"/>
        <v>0.28077200000000013</v>
      </c>
      <c r="P42" s="41">
        <f t="shared" si="11"/>
        <v>0.28077200000000013</v>
      </c>
    </row>
    <row r="43">
      <c r="A43">
        <v>1036</v>
      </c>
      <c r="B43">
        <v>2204821.3679999998</v>
      </c>
      <c r="C43">
        <v>6722577.0559999999</v>
      </c>
      <c r="D43">
        <v>131.44399999999999</v>
      </c>
      <c r="E43">
        <v>795</v>
      </c>
      <c r="F43" s="45">
        <v>29.801958671372248</v>
      </c>
      <c r="G43" s="41">
        <v>1.8200000000000001</v>
      </c>
      <c r="H43" s="41">
        <v>3.1696580000000001</v>
      </c>
      <c r="I43" s="41">
        <f t="shared" si="8"/>
        <v>1.349658</v>
      </c>
      <c r="J43" s="41">
        <f t="shared" si="9"/>
        <v>1.349658</v>
      </c>
      <c r="L43" s="45">
        <v>29.801958671372248</v>
      </c>
      <c r="M43" s="44">
        <v>1.05</v>
      </c>
      <c r="N43" s="41">
        <v>1.599804</v>
      </c>
      <c r="O43" s="41">
        <f t="shared" si="10"/>
        <v>0.54980399999999996</v>
      </c>
      <c r="P43" s="41">
        <f t="shared" si="11"/>
        <v>0.54980399999999996</v>
      </c>
    </row>
    <row r="44">
      <c r="A44">
        <v>1037</v>
      </c>
      <c r="B44">
        <v>2204830.4019999998</v>
      </c>
      <c r="C44">
        <v>6722579.3729999997</v>
      </c>
      <c r="D44">
        <v>131.17400000000001</v>
      </c>
      <c r="E44">
        <v>795</v>
      </c>
      <c r="F44" s="45">
        <v>39.12835374121746</v>
      </c>
      <c r="G44" s="41">
        <v>2.79</v>
      </c>
      <c r="H44" s="41">
        <v>3.3797069999999998</v>
      </c>
      <c r="I44" s="41">
        <f t="shared" si="8"/>
        <v>0.58970699999999976</v>
      </c>
      <c r="J44" s="41">
        <f t="shared" si="9"/>
        <v>0.58970699999999976</v>
      </c>
      <c r="L44" s="45">
        <v>39.12835374121746</v>
      </c>
      <c r="M44" s="44">
        <v>1.3123200000000002</v>
      </c>
      <c r="N44" s="41">
        <v>1.940493</v>
      </c>
      <c r="O44" s="41">
        <f t="shared" si="10"/>
        <v>0.62817299999999987</v>
      </c>
      <c r="P44" s="41">
        <f t="shared" si="11"/>
        <v>0.62817299999999987</v>
      </c>
    </row>
    <row r="45">
      <c r="A45">
        <v>1038</v>
      </c>
      <c r="B45">
        <v>2204838.1899999999</v>
      </c>
      <c r="C45">
        <v>6722581.1660000002</v>
      </c>
      <c r="D45">
        <v>131.02199999999999</v>
      </c>
      <c r="E45">
        <v>795</v>
      </c>
      <c r="F45" s="45">
        <v>47.120086532335051</v>
      </c>
      <c r="G45" s="41">
        <v>3.6600000000000001</v>
      </c>
      <c r="H45" s="41">
        <v>3.3934820000000001</v>
      </c>
      <c r="I45" s="41">
        <f t="shared" si="8"/>
        <v>-0.26651800000000003</v>
      </c>
      <c r="J45" s="41">
        <f t="shared" si="9"/>
        <v>0.26651800000000003</v>
      </c>
      <c r="L45" s="45">
        <v>47.120086532335051</v>
      </c>
      <c r="M45" s="44">
        <v>1.55</v>
      </c>
      <c r="N45" s="41">
        <v>1.985028</v>
      </c>
      <c r="O45" s="41">
        <f t="shared" si="10"/>
        <v>0.43502799999999997</v>
      </c>
      <c r="P45" s="41">
        <f t="shared" si="11"/>
        <v>0.43502799999999997</v>
      </c>
    </row>
    <row r="46">
      <c r="A46">
        <v>1039</v>
      </c>
      <c r="B46">
        <v>2204845.2429999998</v>
      </c>
      <c r="C46">
        <v>6722582.8969999999</v>
      </c>
      <c r="D46">
        <v>130.90700000000001</v>
      </c>
      <c r="E46">
        <v>795</v>
      </c>
      <c r="F46" s="45">
        <v>54.382398147560004</v>
      </c>
      <c r="G46" s="41">
        <v>4.1699999999999999</v>
      </c>
      <c r="H46" s="41">
        <v>3.375019</v>
      </c>
      <c r="I46" s="41">
        <f t="shared" si="8"/>
        <v>-0.79498099999999994</v>
      </c>
      <c r="J46" s="41">
        <f t="shared" si="9"/>
        <v>0.79498099999999994</v>
      </c>
      <c r="L46" s="45">
        <v>54.382398147560004</v>
      </c>
      <c r="M46" s="44">
        <v>1.574784</v>
      </c>
      <c r="N46" s="41">
        <v>1.9433659999999999</v>
      </c>
      <c r="O46" s="41">
        <f t="shared" si="10"/>
        <v>0.36858199999999997</v>
      </c>
      <c r="P46" s="41">
        <f t="shared" si="11"/>
        <v>0.36858199999999997</v>
      </c>
    </row>
    <row r="47">
      <c r="A47">
        <v>1040</v>
      </c>
      <c r="B47">
        <v>2204852.4840000002</v>
      </c>
      <c r="C47">
        <v>6722584.3300000001</v>
      </c>
      <c r="D47">
        <v>130.55500000000001</v>
      </c>
      <c r="E47">
        <v>795</v>
      </c>
      <c r="F47" s="45">
        <v>61.763832290473289</v>
      </c>
      <c r="G47" s="41">
        <v>4.5300000000000002</v>
      </c>
      <c r="H47" s="41">
        <v>3.4114909999999998</v>
      </c>
      <c r="I47" s="41">
        <f t="shared" si="8"/>
        <v>-1.1185090000000004</v>
      </c>
      <c r="J47" s="41">
        <f t="shared" si="9"/>
        <v>1.1185090000000004</v>
      </c>
      <c r="L47" s="45">
        <v>61.763832290473289</v>
      </c>
      <c r="M47" s="44">
        <v>1.8999999999999999</v>
      </c>
      <c r="N47" s="41">
        <v>2.348519</v>
      </c>
      <c r="O47" s="41">
        <f t="shared" si="10"/>
        <v>0.44851900000000011</v>
      </c>
      <c r="P47" s="41">
        <f t="shared" si="11"/>
        <v>0.44851900000000011</v>
      </c>
    </row>
    <row r="48">
      <c r="A48">
        <v>1041</v>
      </c>
      <c r="B48">
        <v>2204861.602</v>
      </c>
      <c r="C48">
        <v>6722586.0259999996</v>
      </c>
      <c r="D48">
        <v>130.37299999999999</v>
      </c>
      <c r="E48">
        <v>795</v>
      </c>
      <c r="F48" s="45">
        <v>71.038223914427263</v>
      </c>
      <c r="G48" s="41">
        <v>5.3099999999999996</v>
      </c>
      <c r="H48" s="41">
        <v>3.341647</v>
      </c>
      <c r="I48" s="41">
        <f t="shared" si="8"/>
        <v>-1.9683529999999996</v>
      </c>
      <c r="J48" s="41">
        <f t="shared" si="9"/>
        <v>1.9683529999999996</v>
      </c>
      <c r="L48" s="45">
        <v>71.038223914427263</v>
      </c>
      <c r="M48" s="44">
        <v>2.0340959999999999</v>
      </c>
      <c r="N48" s="41">
        <v>2.511981</v>
      </c>
      <c r="O48" s="41">
        <f t="shared" si="10"/>
        <v>0.47788500000000012</v>
      </c>
      <c r="P48" s="41">
        <f t="shared" si="11"/>
        <v>0.47788500000000012</v>
      </c>
    </row>
    <row r="49">
      <c r="A49">
        <v>1042</v>
      </c>
      <c r="B49">
        <v>2204867.73</v>
      </c>
      <c r="C49">
        <v>6722587.6160000004</v>
      </c>
      <c r="D49">
        <v>130.16800000000001</v>
      </c>
      <c r="E49">
        <v>795</v>
      </c>
      <c r="F49" s="45">
        <v>77.369138856424769</v>
      </c>
      <c r="G49" s="41">
        <v>4.5300000000000002</v>
      </c>
      <c r="H49" s="41">
        <v>3.1840980000000001</v>
      </c>
      <c r="I49" s="41">
        <f t="shared" si="8"/>
        <v>-1.3459020000000002</v>
      </c>
      <c r="J49" s="41">
        <f t="shared" si="9"/>
        <v>1.3459020000000002</v>
      </c>
      <c r="L49" s="45">
        <v>77.369138856424769</v>
      </c>
      <c r="M49" s="44">
        <v>2.3999999999999999</v>
      </c>
      <c r="N49" s="41">
        <v>2.2966380000000002</v>
      </c>
      <c r="O49" s="41">
        <f t="shared" si="10"/>
        <v>-0.10336199999999973</v>
      </c>
      <c r="P49" s="41">
        <f t="shared" si="11"/>
        <v>0.10336199999999973</v>
      </c>
    </row>
    <row r="50">
      <c r="A50">
        <v>1043</v>
      </c>
      <c r="B50">
        <v>2204876.0800000001</v>
      </c>
      <c r="C50">
        <v>6722588.4340000004</v>
      </c>
      <c r="D50">
        <v>130.52000000000001</v>
      </c>
      <c r="E50">
        <v>795</v>
      </c>
      <c r="F50" s="45">
        <v>85.759110489362897</v>
      </c>
      <c r="G50" s="41">
        <v>4.3300000000000001</v>
      </c>
      <c r="H50" s="41">
        <v>2.9072049999999998</v>
      </c>
      <c r="I50" s="41">
        <f t="shared" si="8"/>
        <v>-1.4227950000000003</v>
      </c>
      <c r="J50" s="41">
        <f t="shared" si="9"/>
        <v>1.4227950000000003</v>
      </c>
      <c r="L50" s="45">
        <v>85.759110489362897</v>
      </c>
      <c r="M50" s="44">
        <v>2.0340959999999999</v>
      </c>
      <c r="N50" s="41">
        <v>2.003574</v>
      </c>
      <c r="O50" s="41">
        <f t="shared" si="10"/>
        <v>-0.030521999999999938</v>
      </c>
      <c r="P50" s="41">
        <f t="shared" si="11"/>
        <v>0.030521999999999938</v>
      </c>
    </row>
    <row r="51">
      <c r="A51">
        <v>1044</v>
      </c>
      <c r="B51">
        <v>2204881.4640000002</v>
      </c>
      <c r="C51">
        <v>6722590.2419999996</v>
      </c>
      <c r="D51">
        <v>130.78800000000001</v>
      </c>
      <c r="E51">
        <v>795</v>
      </c>
      <c r="F51" s="45">
        <v>91.438575252716504</v>
      </c>
      <c r="G51" s="41">
        <v>3.9900000000000002</v>
      </c>
      <c r="H51" s="41">
        <v>2.6957939999999998</v>
      </c>
      <c r="I51" s="41">
        <f t="shared" si="8"/>
        <v>-1.2942060000000004</v>
      </c>
      <c r="J51" s="41">
        <f t="shared" si="9"/>
        <v>1.2942060000000004</v>
      </c>
      <c r="L51" s="45">
        <v>91.438575252716504</v>
      </c>
      <c r="M51" s="44">
        <v>1.8999999999999999</v>
      </c>
      <c r="N51" s="41">
        <v>1.7972699999999999</v>
      </c>
      <c r="O51" s="41">
        <f t="shared" si="10"/>
        <v>-0.10272999999999999</v>
      </c>
      <c r="P51" s="41">
        <f t="shared" si="11"/>
        <v>0.10272999999999999</v>
      </c>
    </row>
    <row r="52">
      <c r="A52">
        <v>1045</v>
      </c>
      <c r="B52">
        <v>2204889.1400000001</v>
      </c>
      <c r="C52">
        <v>6722591.7539999997</v>
      </c>
      <c r="D52">
        <v>130.67599999999999</v>
      </c>
      <c r="E52">
        <v>795</v>
      </c>
      <c r="F52" s="45">
        <v>99.26207319161648</v>
      </c>
      <c r="G52" s="41">
        <v>4.46</v>
      </c>
      <c r="H52" s="41">
        <v>2.3731399999999998</v>
      </c>
      <c r="I52" s="41">
        <f t="shared" si="8"/>
        <v>-2.0868600000000002</v>
      </c>
      <c r="J52" s="41">
        <f t="shared" si="9"/>
        <v>2.0868600000000002</v>
      </c>
      <c r="L52" s="45">
        <v>99.26207319161648</v>
      </c>
      <c r="M52" s="44">
        <v>1.7388240000000001</v>
      </c>
      <c r="N52" s="41">
        <v>1.5090680000000001</v>
      </c>
      <c r="O52" s="41">
        <f t="shared" si="10"/>
        <v>-0.22975600000000007</v>
      </c>
      <c r="P52" s="41">
        <f t="shared" si="11"/>
        <v>0.22975600000000007</v>
      </c>
    </row>
    <row r="53">
      <c r="A53">
        <v>1046</v>
      </c>
      <c r="B53">
        <v>2204896.4879999999</v>
      </c>
      <c r="C53">
        <v>6722592.9199999999</v>
      </c>
      <c r="D53">
        <v>131.01300000000001</v>
      </c>
      <c r="E53">
        <v>795</v>
      </c>
      <c r="F53" s="45">
        <v>106.702010019105</v>
      </c>
      <c r="G53" s="41">
        <v>3.3399999999999999</v>
      </c>
      <c r="H53" s="41">
        <v>2.0267750000000002</v>
      </c>
      <c r="I53" s="41">
        <f t="shared" si="8"/>
        <v>-1.3132249999999996</v>
      </c>
      <c r="J53" s="41">
        <f t="shared" si="9"/>
        <v>1.3132249999999996</v>
      </c>
      <c r="L53" s="45">
        <v>106.702010019105</v>
      </c>
      <c r="M53" s="44">
        <v>1.5</v>
      </c>
      <c r="N53" s="41">
        <v>1.237862</v>
      </c>
      <c r="O53" s="41">
        <f t="shared" si="10"/>
        <v>-0.26213799999999998</v>
      </c>
      <c r="P53" s="41">
        <f t="shared" si="11"/>
        <v>0.26213799999999998</v>
      </c>
    </row>
    <row r="54">
      <c r="A54">
        <v>1047</v>
      </c>
      <c r="B54">
        <v>2204903.3250000002</v>
      </c>
      <c r="C54">
        <v>6722594.2690000003</v>
      </c>
      <c r="D54">
        <v>131.38</v>
      </c>
      <c r="E54">
        <v>795</v>
      </c>
      <c r="F54" s="45">
        <v>113.67082412231071</v>
      </c>
      <c r="G54" s="41">
        <v>0.84999999999999998</v>
      </c>
      <c r="H54" s="41">
        <v>1.6842159999999999</v>
      </c>
      <c r="I54" s="41">
        <f t="shared" si="8"/>
        <v>0.83421599999999996</v>
      </c>
      <c r="J54" s="41">
        <f t="shared" si="9"/>
        <v>0.83421599999999996</v>
      </c>
      <c r="L54" s="45">
        <v>113.67082412231071</v>
      </c>
      <c r="M54" s="44">
        <v>0.8530080000000001</v>
      </c>
      <c r="N54" s="41">
        <v>0.98684499999999997</v>
      </c>
      <c r="O54" s="41">
        <f t="shared" si="10"/>
        <v>0.13383699999999987</v>
      </c>
      <c r="P54" s="41">
        <f t="shared" si="11"/>
        <v>0.13383699999999987</v>
      </c>
    </row>
    <row r="55">
      <c r="A55" s="1" t="s">
        <v>48</v>
      </c>
      <c r="F55" s="45"/>
      <c r="L55" s="45"/>
      <c r="M55" s="44"/>
    </row>
    <row r="56">
      <c r="A56">
        <v>1048</v>
      </c>
      <c r="B56">
        <v>2208209.5819999999</v>
      </c>
      <c r="C56">
        <v>6731085.8789999997</v>
      </c>
      <c r="D56">
        <v>149.827</v>
      </c>
      <c r="E56">
        <v>795</v>
      </c>
      <c r="F56" s="45">
        <v>17.337320352605968</v>
      </c>
      <c r="G56" s="41">
        <v>0</v>
      </c>
      <c r="H56" s="41">
        <v>0.66914700000000005</v>
      </c>
      <c r="I56" s="41">
        <f t="shared" ref="I56:I69" si="12">H56-G56</f>
        <v>0.66914700000000005</v>
      </c>
      <c r="J56" s="41">
        <f t="shared" ref="J56:J68" si="13">ABS(I56)</f>
        <v>0.66914700000000005</v>
      </c>
      <c r="L56" s="45">
        <v>17.337320352605968</v>
      </c>
      <c r="M56" s="44">
        <v>0.39369599999999999</v>
      </c>
      <c r="N56" s="41">
        <v>0.56207499999999999</v>
      </c>
      <c r="O56" s="41">
        <f t="shared" ref="O56:O69" si="14">N56-M56</f>
        <v>0.168379</v>
      </c>
      <c r="P56" s="41">
        <f t="shared" ref="P56:P68" si="15">ABS(O56)</f>
        <v>0.168379</v>
      </c>
    </row>
    <row r="57">
      <c r="A57">
        <v>1049</v>
      </c>
      <c r="B57">
        <v>2208197.8080000002</v>
      </c>
      <c r="C57">
        <v>6731089.5530000003</v>
      </c>
      <c r="D57">
        <v>149.54300000000001</v>
      </c>
      <c r="E57">
        <v>795</v>
      </c>
      <c r="F57" s="45">
        <v>29.671231005688281</v>
      </c>
      <c r="G57" s="41">
        <v>0.56000000000000005</v>
      </c>
      <c r="H57" s="41">
        <v>1.0346649999999999</v>
      </c>
      <c r="I57" s="41">
        <f t="shared" si="12"/>
        <v>0.47466499999999989</v>
      </c>
      <c r="J57" s="41">
        <f t="shared" si="13"/>
        <v>0.47466499999999989</v>
      </c>
      <c r="L57" s="45">
        <v>29.671231005688281</v>
      </c>
      <c r="M57" s="44">
        <v>0.42650400000000005</v>
      </c>
      <c r="N57" s="41">
        <v>1.071464</v>
      </c>
      <c r="O57" s="41">
        <f t="shared" si="14"/>
        <v>0.64495999999999998</v>
      </c>
      <c r="P57" s="41">
        <f t="shared" si="15"/>
        <v>0.64495999999999998</v>
      </c>
    </row>
    <row r="58">
      <c r="A58">
        <v>1050</v>
      </c>
      <c r="B58">
        <v>2208186.3930000002</v>
      </c>
      <c r="C58">
        <v>6731094.8030000003</v>
      </c>
      <c r="D58">
        <v>149.47200000000001</v>
      </c>
      <c r="E58">
        <v>795</v>
      </c>
      <c r="F58" s="45">
        <v>42.2356539928712</v>
      </c>
      <c r="G58" s="41">
        <v>1.1100000000000001</v>
      </c>
      <c r="H58" s="41">
        <v>1.4383140000000001</v>
      </c>
      <c r="I58" s="41">
        <f t="shared" si="12"/>
        <v>0.32831399999999999</v>
      </c>
      <c r="J58" s="41">
        <f t="shared" si="13"/>
        <v>0.32831399999999999</v>
      </c>
      <c r="L58" s="45">
        <v>42.2356539928712</v>
      </c>
      <c r="M58" s="44">
        <v>0.84999999999999998</v>
      </c>
      <c r="N58" s="41">
        <v>1.3565590000000001</v>
      </c>
      <c r="O58" s="41">
        <f t="shared" si="14"/>
        <v>0.50655900000000009</v>
      </c>
      <c r="P58" s="41">
        <f t="shared" si="15"/>
        <v>0.50655900000000009</v>
      </c>
    </row>
    <row r="59">
      <c r="A59">
        <v>1051</v>
      </c>
      <c r="B59">
        <v>2208176.2549999999</v>
      </c>
      <c r="C59">
        <v>6731097.7010000004</v>
      </c>
      <c r="D59">
        <v>149.167</v>
      </c>
      <c r="E59">
        <v>795</v>
      </c>
      <c r="F59" s="45">
        <v>52.779725692442362</v>
      </c>
      <c r="G59" s="41">
        <v>1.8700000000000001</v>
      </c>
      <c r="H59" s="41">
        <v>1.7900499999999999</v>
      </c>
      <c r="I59" s="41">
        <f t="shared" si="12"/>
        <v>-0.079950000000000188</v>
      </c>
      <c r="J59" s="41">
        <f t="shared" si="13"/>
        <v>0.079950000000000188</v>
      </c>
      <c r="L59" s="45">
        <v>52.779725692442362</v>
      </c>
      <c r="M59" s="44">
        <v>1.246704</v>
      </c>
      <c r="N59" s="41">
        <v>1.3836520000000001</v>
      </c>
      <c r="O59" s="41">
        <f t="shared" si="14"/>
        <v>0.13694800000000007</v>
      </c>
      <c r="P59" s="41">
        <f t="shared" si="15"/>
        <v>0.13694800000000007</v>
      </c>
    </row>
    <row r="60">
      <c r="A60">
        <v>1052</v>
      </c>
      <c r="B60">
        <v>2208164.148</v>
      </c>
      <c r="C60">
        <v>6731104.1430000002</v>
      </c>
      <c r="D60">
        <v>148.71299999999999</v>
      </c>
      <c r="E60">
        <v>795</v>
      </c>
      <c r="F60" s="45">
        <v>66.49390860626248</v>
      </c>
      <c r="G60" s="41">
        <v>2.5299999999999998</v>
      </c>
      <c r="H60" s="41">
        <v>2.2791139999999999</v>
      </c>
      <c r="I60" s="41">
        <f t="shared" si="12"/>
        <v>-0.25088599999999994</v>
      </c>
      <c r="J60" s="41">
        <f t="shared" si="13"/>
        <v>0.25088599999999994</v>
      </c>
      <c r="L60" s="45">
        <v>66.49390860626248</v>
      </c>
      <c r="M60" s="44">
        <v>1.6499999999999999</v>
      </c>
      <c r="N60" s="41">
        <v>1.2503340000000001</v>
      </c>
      <c r="O60" s="41">
        <f t="shared" si="14"/>
        <v>-0.39966599999999985</v>
      </c>
      <c r="P60" s="41">
        <f t="shared" si="15"/>
        <v>0.39966599999999985</v>
      </c>
    </row>
    <row r="61">
      <c r="A61">
        <v>1053</v>
      </c>
      <c r="B61">
        <v>2208151.1719999998</v>
      </c>
      <c r="C61">
        <v>6731110.4019999998</v>
      </c>
      <c r="D61">
        <v>148.363</v>
      </c>
      <c r="E61">
        <v>795</v>
      </c>
      <c r="F61" s="45">
        <v>80.900561826279301</v>
      </c>
      <c r="G61" s="41">
        <v>3.1200000000000001</v>
      </c>
      <c r="H61" s="41">
        <v>2.9620519999999999</v>
      </c>
      <c r="I61" s="41">
        <f t="shared" si="12"/>
        <v>-0.1579480000000002</v>
      </c>
      <c r="J61" s="41">
        <f t="shared" si="13"/>
        <v>0.1579480000000002</v>
      </c>
      <c r="L61" s="45">
        <v>80.900561826279301</v>
      </c>
      <c r="M61" s="44">
        <v>2.13252</v>
      </c>
      <c r="N61" s="41">
        <v>2.3936069999999998</v>
      </c>
      <c r="O61" s="41">
        <f t="shared" si="14"/>
        <v>0.26108699999999985</v>
      </c>
      <c r="P61" s="41">
        <f t="shared" si="15"/>
        <v>0.26108699999999985</v>
      </c>
    </row>
    <row r="62">
      <c r="A62">
        <v>1054</v>
      </c>
      <c r="B62">
        <v>2208140.6340000001</v>
      </c>
      <c r="C62">
        <v>6731114.5039999997</v>
      </c>
      <c r="D62">
        <v>148.072</v>
      </c>
      <c r="E62">
        <v>795</v>
      </c>
      <c r="F62" s="45">
        <v>92.208782198800748</v>
      </c>
      <c r="G62" s="41">
        <v>3.1200000000000001</v>
      </c>
      <c r="H62" s="41">
        <v>3.3187229999999999</v>
      </c>
      <c r="I62" s="41">
        <f t="shared" si="12"/>
        <v>0.19872299999999976</v>
      </c>
      <c r="J62" s="41">
        <f t="shared" si="13"/>
        <v>0.19872299999999976</v>
      </c>
      <c r="L62" s="45">
        <v>92.208782198800748</v>
      </c>
      <c r="M62" s="44">
        <v>2.1499999999999999</v>
      </c>
      <c r="N62" s="41">
        <v>2.1736260000000001</v>
      </c>
      <c r="O62" s="41">
        <f t="shared" si="14"/>
        <v>0.023626000000000147</v>
      </c>
      <c r="P62" s="41">
        <f t="shared" si="15"/>
        <v>0.023626000000000147</v>
      </c>
    </row>
    <row r="63">
      <c r="A63">
        <v>1055</v>
      </c>
      <c r="B63">
        <v>2208129.6349999998</v>
      </c>
      <c r="C63">
        <v>6731119.8370000003</v>
      </c>
      <c r="D63">
        <v>148.197</v>
      </c>
      <c r="E63">
        <v>795</v>
      </c>
      <c r="F63" s="45">
        <v>104.4324841753984</v>
      </c>
      <c r="G63" s="41">
        <v>3.6400000000000001</v>
      </c>
      <c r="H63" s="41">
        <v>3.4102359999999998</v>
      </c>
      <c r="I63" s="41">
        <f t="shared" si="12"/>
        <v>-0.2297640000000003</v>
      </c>
      <c r="J63" s="41">
        <f t="shared" si="13"/>
        <v>0.2297640000000003</v>
      </c>
      <c r="L63" s="45">
        <v>104.4324841753984</v>
      </c>
      <c r="M63" s="44">
        <v>2.2309440000000005</v>
      </c>
      <c r="N63" s="41">
        <v>2.9959500000000001</v>
      </c>
      <c r="O63" s="41">
        <f t="shared" si="14"/>
        <v>0.76500599999999963</v>
      </c>
      <c r="P63" s="41">
        <f t="shared" si="15"/>
        <v>0.76500599999999963</v>
      </c>
    </row>
    <row r="64">
      <c r="A64">
        <v>1056</v>
      </c>
      <c r="B64">
        <v>2208118.7769999998</v>
      </c>
      <c r="C64">
        <v>6731125.0800000001</v>
      </c>
      <c r="D64">
        <v>148.029</v>
      </c>
      <c r="E64">
        <v>795</v>
      </c>
      <c r="F64" s="45">
        <v>116.49006324409606</v>
      </c>
      <c r="G64" s="41">
        <v>2.5800000000000001</v>
      </c>
      <c r="H64" s="41">
        <v>3.3575979999999999</v>
      </c>
      <c r="I64" s="41">
        <f t="shared" si="12"/>
        <v>0.77759799999999979</v>
      </c>
      <c r="J64" s="41">
        <f t="shared" si="13"/>
        <v>0.77759799999999979</v>
      </c>
      <c r="L64" s="45">
        <v>116.49006324409606</v>
      </c>
      <c r="M64" s="44">
        <v>2.3999999999999999</v>
      </c>
      <c r="N64" s="41">
        <v>2.3231039999999998</v>
      </c>
      <c r="O64" s="41">
        <f t="shared" si="14"/>
        <v>-0.076896000000000075</v>
      </c>
      <c r="P64" s="41">
        <f t="shared" si="15"/>
        <v>0.076896000000000075</v>
      </c>
    </row>
    <row r="65">
      <c r="A65">
        <v>1057</v>
      </c>
      <c r="B65">
        <v>2208106.466</v>
      </c>
      <c r="C65">
        <v>6731129.6119999997</v>
      </c>
      <c r="D65">
        <v>147.98099999999999</v>
      </c>
      <c r="E65">
        <v>795</v>
      </c>
      <c r="F65" s="45">
        <v>129.60874248367043</v>
      </c>
      <c r="G65" s="41">
        <v>3.77</v>
      </c>
      <c r="H65" s="41">
        <v>3.44719</v>
      </c>
      <c r="I65" s="41">
        <f t="shared" si="12"/>
        <v>-0.32281000000000004</v>
      </c>
      <c r="J65" s="41">
        <f t="shared" si="13"/>
        <v>0.32281000000000004</v>
      </c>
      <c r="L65" s="45">
        <v>129.60874248367043</v>
      </c>
      <c r="M65" s="44">
        <v>2.2965599999999999</v>
      </c>
      <c r="N65" s="41">
        <v>2.1927910000000002</v>
      </c>
      <c r="O65" s="41">
        <f t="shared" si="14"/>
        <v>-0.10376899999999978</v>
      </c>
      <c r="P65" s="41">
        <f t="shared" si="15"/>
        <v>0.10376899999999978</v>
      </c>
    </row>
    <row r="66">
      <c r="A66">
        <v>1058</v>
      </c>
      <c r="B66">
        <v>2208092.9419999998</v>
      </c>
      <c r="C66">
        <v>6731136.6799999997</v>
      </c>
      <c r="D66">
        <v>147.83699999999999</v>
      </c>
      <c r="E66">
        <v>795</v>
      </c>
      <c r="F66" s="45">
        <v>144.86833618747596</v>
      </c>
      <c r="G66" s="41">
        <v>2.4199999999999999</v>
      </c>
      <c r="H66" s="41">
        <v>3.4021590000000002</v>
      </c>
      <c r="I66" s="41">
        <f t="shared" si="12"/>
        <v>0.98215900000000023</v>
      </c>
      <c r="J66" s="41">
        <f t="shared" si="13"/>
        <v>0.98215900000000023</v>
      </c>
      <c r="L66" s="45">
        <v>144.86833618747596</v>
      </c>
      <c r="M66" s="44">
        <v>2.5499999999999998</v>
      </c>
      <c r="N66" s="41">
        <v>2.039644</v>
      </c>
      <c r="O66" s="41">
        <f t="shared" si="14"/>
        <v>-0.51035599999999981</v>
      </c>
      <c r="P66" s="41">
        <f t="shared" si="15"/>
        <v>0.51035599999999981</v>
      </c>
    </row>
    <row r="67">
      <c r="A67">
        <v>1059</v>
      </c>
      <c r="B67">
        <v>2208081.4219999998</v>
      </c>
      <c r="C67">
        <v>6731138.9440000001</v>
      </c>
      <c r="D67">
        <v>148.071</v>
      </c>
      <c r="E67">
        <v>795</v>
      </c>
      <c r="F67" s="45">
        <v>156.60869802186531</v>
      </c>
      <c r="G67" s="41">
        <v>2.23</v>
      </c>
      <c r="H67" s="41">
        <v>2.9886439999999999</v>
      </c>
      <c r="I67" s="41">
        <f t="shared" si="12"/>
        <v>0.75864399999999987</v>
      </c>
      <c r="J67" s="41">
        <f t="shared" si="13"/>
        <v>0.75864399999999987</v>
      </c>
      <c r="L67" s="45">
        <v>156.60869802186531</v>
      </c>
      <c r="M67" s="44">
        <v>2.13252</v>
      </c>
      <c r="N67" s="41">
        <v>1.8769119999999999</v>
      </c>
      <c r="O67" s="41">
        <f t="shared" si="14"/>
        <v>-0.25560800000000006</v>
      </c>
      <c r="P67" s="41">
        <f t="shared" si="15"/>
        <v>0.25560800000000006</v>
      </c>
    </row>
    <row r="68">
      <c r="A68">
        <v>1060</v>
      </c>
      <c r="B68">
        <v>2208068.6519999998</v>
      </c>
      <c r="C68">
        <v>6731143.1449999996</v>
      </c>
      <c r="D68">
        <v>148.446</v>
      </c>
      <c r="E68">
        <v>795</v>
      </c>
      <c r="F68" s="45">
        <v>170.05196031178559</v>
      </c>
      <c r="G68" s="41">
        <v>1.71</v>
      </c>
      <c r="H68" s="41">
        <v>2.266918</v>
      </c>
      <c r="I68" s="41">
        <f t="shared" si="12"/>
        <v>0.55691800000000002</v>
      </c>
      <c r="J68" s="41">
        <f t="shared" si="13"/>
        <v>0.55691800000000002</v>
      </c>
      <c r="L68" s="45">
        <v>170.05196031178559</v>
      </c>
      <c r="M68" s="44">
        <v>1.75</v>
      </c>
      <c r="N68" s="41">
        <v>1.487843</v>
      </c>
      <c r="O68" s="41">
        <f t="shared" si="14"/>
        <v>-0.26215699999999997</v>
      </c>
      <c r="P68" s="41">
        <f t="shared" si="15"/>
        <v>0.26215699999999997</v>
      </c>
    </row>
    <row r="69">
      <c r="A69">
        <v>1061</v>
      </c>
      <c r="B69">
        <v>2208057.4900000002</v>
      </c>
      <c r="C69">
        <v>6731145.9029999999</v>
      </c>
      <c r="D69">
        <v>149.215</v>
      </c>
      <c r="E69">
        <v>795</v>
      </c>
      <c r="F69" s="45">
        <v>181.54964738319043</v>
      </c>
      <c r="G69" s="41">
        <v>0.97999999999999998</v>
      </c>
      <c r="H69" s="41">
        <v>0.83909400000000001</v>
      </c>
      <c r="I69" s="41">
        <f t="shared" si="12"/>
        <v>-0.14090599999999998</v>
      </c>
      <c r="J69" s="41">
        <f>ABS(I69)</f>
        <v>0.14090599999999998</v>
      </c>
      <c r="L69" s="45">
        <v>181.54964738319043</v>
      </c>
      <c r="M69" s="44">
        <v>1.2795120000000002</v>
      </c>
      <c r="N69" s="41">
        <v>0.32944800000000002</v>
      </c>
      <c r="O69" s="41">
        <f t="shared" si="14"/>
        <v>-0.95006400000000024</v>
      </c>
      <c r="P69" s="41">
        <f>ABS(O69)</f>
        <v>0.95006400000000024</v>
      </c>
    </row>
    <row r="70">
      <c r="A70" s="1" t="s">
        <v>51</v>
      </c>
      <c r="F70" s="45"/>
      <c r="L70" s="45"/>
      <c r="M70" s="44"/>
    </row>
    <row r="71">
      <c r="A71">
        <v>1062</v>
      </c>
      <c r="B71">
        <v>2208497.594</v>
      </c>
      <c r="C71">
        <v>6732151.6979999999</v>
      </c>
      <c r="D71">
        <v>151.54400000000001</v>
      </c>
      <c r="E71">
        <v>795</v>
      </c>
      <c r="F71" s="45">
        <v>10.7689054690631</v>
      </c>
      <c r="G71" s="41">
        <v>0.81999999999999995</v>
      </c>
      <c r="H71" s="41">
        <v>0.219162</v>
      </c>
      <c r="I71" s="41">
        <f t="shared" ref="I71:I76" si="16">H71-G71</f>
        <v>-0.60083799999999998</v>
      </c>
      <c r="J71" s="41">
        <f t="shared" ref="J71:J76" si="17">ABS(I71)</f>
        <v>0.60083799999999998</v>
      </c>
      <c r="L71" s="45">
        <v>10.7689054690631</v>
      </c>
      <c r="M71" s="44">
        <v>0.52492800000000006</v>
      </c>
      <c r="N71" s="41">
        <v>0.079036999999999996</v>
      </c>
      <c r="O71" s="41">
        <f t="shared" ref="O71:O76" si="18">N71-M71</f>
        <v>-0.44589100000000004</v>
      </c>
      <c r="P71" s="41">
        <f t="shared" ref="P71:P76" si="19">ABS(O71)</f>
        <v>0.44589100000000004</v>
      </c>
    </row>
    <row r="72">
      <c r="A72">
        <v>1063</v>
      </c>
      <c r="B72">
        <v>2208512.145</v>
      </c>
      <c r="C72">
        <v>6732150.0889999997</v>
      </c>
      <c r="D72">
        <v>150.34200000000001</v>
      </c>
      <c r="E72">
        <v>795</v>
      </c>
      <c r="F72" s="45">
        <v>25.408594058643857</v>
      </c>
      <c r="G72" s="41">
        <v>1.76</v>
      </c>
      <c r="H72" s="41">
        <v>0.60274799999999995</v>
      </c>
      <c r="I72" s="41">
        <f t="shared" si="16"/>
        <v>-1.1572520000000002</v>
      </c>
      <c r="J72" s="41">
        <f t="shared" si="17"/>
        <v>1.1572520000000002</v>
      </c>
      <c r="L72" s="45">
        <v>25.408594058643857</v>
      </c>
      <c r="M72" s="44">
        <v>1.7</v>
      </c>
      <c r="N72" s="41">
        <v>0.82664499999999996</v>
      </c>
      <c r="O72" s="41">
        <f t="shared" si="18"/>
        <v>-0.87335499999999999</v>
      </c>
      <c r="P72" s="41">
        <f t="shared" si="19"/>
        <v>0.87335499999999999</v>
      </c>
    </row>
    <row r="73">
      <c r="A73">
        <v>1064</v>
      </c>
      <c r="B73">
        <v>2208525.253</v>
      </c>
      <c r="C73">
        <v>6732148.1529999999</v>
      </c>
      <c r="D73">
        <v>150.64500000000001</v>
      </c>
      <c r="E73">
        <v>795</v>
      </c>
      <c r="F73" s="45">
        <v>38.658792547694631</v>
      </c>
      <c r="G73" s="41">
        <v>3.1200000000000001</v>
      </c>
      <c r="H73" s="41">
        <v>0.87568000000000001</v>
      </c>
      <c r="I73" s="41">
        <f t="shared" si="16"/>
        <v>-2.2443200000000001</v>
      </c>
      <c r="J73" s="41">
        <f t="shared" si="17"/>
        <v>2.2443200000000001</v>
      </c>
      <c r="L73" s="45">
        <v>38.658792547694631</v>
      </c>
      <c r="M73" s="44">
        <v>1.3123200000000002</v>
      </c>
      <c r="N73" s="41">
        <v>1.516845</v>
      </c>
      <c r="O73" s="41">
        <f t="shared" si="18"/>
        <v>0.20452499999999985</v>
      </c>
      <c r="P73" s="41">
        <f t="shared" si="19"/>
        <v>0.20452499999999985</v>
      </c>
    </row>
    <row r="74">
      <c r="A74">
        <v>1065</v>
      </c>
      <c r="B74">
        <v>2208536.727</v>
      </c>
      <c r="C74">
        <v>6732149.1179999998</v>
      </c>
      <c r="D74">
        <v>150.80500000000001</v>
      </c>
      <c r="E74">
        <v>795</v>
      </c>
      <c r="F74" s="45">
        <v>50.173300830643072</v>
      </c>
      <c r="G74" s="41">
        <v>2.79</v>
      </c>
      <c r="H74" s="41">
        <v>0.99722</v>
      </c>
      <c r="I74" s="41">
        <f t="shared" si="16"/>
        <v>-1.79278</v>
      </c>
      <c r="J74" s="41">
        <f t="shared" si="17"/>
        <v>1.79278</v>
      </c>
      <c r="L74" s="45">
        <v>50.173300830643072</v>
      </c>
      <c r="M74" s="44">
        <v>1.0826640000000001</v>
      </c>
      <c r="N74" s="41">
        <v>2.2526190000000001</v>
      </c>
      <c r="O74" s="41">
        <f t="shared" si="18"/>
        <v>1.1699550000000001</v>
      </c>
      <c r="P74" s="41">
        <f t="shared" si="19"/>
        <v>1.1699550000000001</v>
      </c>
    </row>
    <row r="75">
      <c r="A75">
        <v>1066</v>
      </c>
      <c r="B75">
        <v>2208548.1880000001</v>
      </c>
      <c r="C75">
        <v>6732147.5640000002</v>
      </c>
      <c r="D75">
        <v>150.74100000000001</v>
      </c>
      <c r="E75">
        <v>795</v>
      </c>
      <c r="F75" s="45">
        <v>61.739174641188804</v>
      </c>
      <c r="G75" s="41">
        <v>2.6899999999999999</v>
      </c>
      <c r="H75" s="41">
        <v>0.97821400000000003</v>
      </c>
      <c r="I75" s="41">
        <f t="shared" si="16"/>
        <v>-1.711786</v>
      </c>
      <c r="J75" s="41">
        <f t="shared" si="17"/>
        <v>1.711786</v>
      </c>
      <c r="L75" s="45">
        <v>61.739174641188804</v>
      </c>
      <c r="M75" s="44">
        <v>1.2138960000000001</v>
      </c>
      <c r="N75" s="41">
        <v>2.9496699999999998</v>
      </c>
      <c r="O75" s="41">
        <f t="shared" si="18"/>
        <v>1.7357739999999997</v>
      </c>
      <c r="P75" s="41">
        <f t="shared" si="19"/>
        <v>1.7357739999999997</v>
      </c>
    </row>
    <row r="76">
      <c r="A76">
        <v>1067</v>
      </c>
      <c r="B76">
        <v>2208560.963</v>
      </c>
      <c r="C76">
        <v>6732145.2970000003</v>
      </c>
      <c r="D76">
        <v>150.80600000000001</v>
      </c>
      <c r="E76">
        <v>795</v>
      </c>
      <c r="F76" s="45">
        <v>74.71376187923174</v>
      </c>
      <c r="G76" s="41">
        <v>2.4199999999999999</v>
      </c>
      <c r="H76" s="41">
        <v>1.102384</v>
      </c>
      <c r="I76" s="41">
        <f t="shared" si="16"/>
        <v>-1.3176159999999999</v>
      </c>
      <c r="J76" s="41">
        <f t="shared" si="17"/>
        <v>1.3176159999999999</v>
      </c>
      <c r="L76" s="45">
        <v>74.71376187923174</v>
      </c>
      <c r="M76" s="44">
        <v>1.1499999999999999</v>
      </c>
      <c r="N76" s="41">
        <v>3.6267399999999999</v>
      </c>
      <c r="O76" s="41">
        <f t="shared" si="18"/>
        <v>2.4767399999999999</v>
      </c>
      <c r="P76" s="41">
        <f t="shared" si="19"/>
        <v>2.4767399999999999</v>
      </c>
    </row>
    <row r="77">
      <c r="A77" s="1" t="s">
        <v>53</v>
      </c>
      <c r="F77" s="45"/>
      <c r="L77" s="45"/>
      <c r="M77" s="44"/>
    </row>
    <row r="78">
      <c r="A78">
        <v>1068</v>
      </c>
      <c r="B78">
        <v>2207844.2220000001</v>
      </c>
      <c r="C78">
        <v>6730533.284</v>
      </c>
      <c r="D78">
        <v>148.59100000000001</v>
      </c>
      <c r="E78">
        <v>795</v>
      </c>
      <c r="F78" s="45">
        <v>7.8970820559330477</v>
      </c>
      <c r="G78" s="41">
        <v>0.92000000000000004</v>
      </c>
      <c r="H78" s="41">
        <v>0.42523100000000003</v>
      </c>
      <c r="I78" s="41">
        <f t="shared" ref="I78:I93" si="20">H78-G78</f>
        <v>-0.49476900000000001</v>
      </c>
      <c r="J78" s="41">
        <f t="shared" ref="J78:J93" si="21">ABS(I78)</f>
        <v>0.49476900000000001</v>
      </c>
      <c r="L78" s="45">
        <v>7.8970820559330477</v>
      </c>
      <c r="M78" s="44">
        <v>0.45931200000000005</v>
      </c>
      <c r="N78" s="41">
        <v>0</v>
      </c>
      <c r="O78" s="41">
        <f t="shared" ref="O78:O93" si="22">N78-M78</f>
        <v>-0.45931200000000005</v>
      </c>
      <c r="P78" s="41">
        <f t="shared" ref="P78:P93" si="23">ABS(O78)</f>
        <v>0.45931200000000005</v>
      </c>
    </row>
    <row r="79">
      <c r="A79">
        <v>1069</v>
      </c>
      <c r="B79">
        <v>2207852.96</v>
      </c>
      <c r="C79">
        <v>6730531.3329999996</v>
      </c>
      <c r="D79">
        <v>148.08099999999999</v>
      </c>
      <c r="E79">
        <v>795</v>
      </c>
      <c r="F79" s="45">
        <v>16.850240437171678</v>
      </c>
      <c r="G79" s="41">
        <v>1.0800000000000001</v>
      </c>
      <c r="H79" s="41">
        <v>1.0883370000000001</v>
      </c>
      <c r="I79" s="41">
        <f t="shared" si="20"/>
        <v>0.0083370000000000388</v>
      </c>
      <c r="J79" s="41">
        <f t="shared" si="21"/>
        <v>0.0083370000000000388</v>
      </c>
      <c r="L79" s="45">
        <v>16.850240437171678</v>
      </c>
      <c r="M79" s="44">
        <v>0.95143199999999994</v>
      </c>
      <c r="N79" s="41">
        <v>0.43138300000000002</v>
      </c>
      <c r="O79" s="41">
        <f t="shared" si="22"/>
        <v>-0.52004899999999998</v>
      </c>
      <c r="P79" s="41">
        <f t="shared" si="23"/>
        <v>0.52004899999999998</v>
      </c>
    </row>
    <row r="80">
      <c r="A80">
        <v>1070</v>
      </c>
      <c r="B80">
        <v>2207863.2349999999</v>
      </c>
      <c r="C80">
        <v>6730528.6310000001</v>
      </c>
      <c r="D80">
        <v>147.74000000000001</v>
      </c>
      <c r="E80">
        <v>795</v>
      </c>
      <c r="F80" s="45">
        <v>27.474572368913616</v>
      </c>
      <c r="G80" s="41">
        <v>1.55</v>
      </c>
      <c r="H80" s="41">
        <v>2.3177590000000001</v>
      </c>
      <c r="I80" s="41">
        <f t="shared" si="20"/>
        <v>0.76775900000000008</v>
      </c>
      <c r="J80" s="41">
        <f t="shared" si="21"/>
        <v>0.76775900000000008</v>
      </c>
      <c r="L80" s="45">
        <v>27.474572368913616</v>
      </c>
      <c r="M80" s="44">
        <v>1.1000000000000001</v>
      </c>
      <c r="N80" s="41">
        <v>1.3138609999999999</v>
      </c>
      <c r="O80" s="41">
        <f t="shared" si="22"/>
        <v>0.21386099999999986</v>
      </c>
      <c r="P80" s="41">
        <f t="shared" si="23"/>
        <v>0.21386099999999986</v>
      </c>
    </row>
    <row r="81">
      <c r="A81">
        <v>1071</v>
      </c>
      <c r="B81">
        <v>2207873.2889999999</v>
      </c>
      <c r="C81">
        <v>6730526.1780000003</v>
      </c>
      <c r="D81">
        <v>147.18000000000001</v>
      </c>
      <c r="E81">
        <v>795</v>
      </c>
      <c r="F81" s="45">
        <v>37.823491394533256</v>
      </c>
      <c r="G81" s="41">
        <v>1.6699999999999999</v>
      </c>
      <c r="H81" s="41">
        <v>2.666445</v>
      </c>
      <c r="I81" s="41">
        <f t="shared" si="20"/>
        <v>0.99644500000000003</v>
      </c>
      <c r="J81" s="41">
        <f t="shared" si="21"/>
        <v>0.99644500000000003</v>
      </c>
      <c r="L81" s="45">
        <v>37.823491394533256</v>
      </c>
      <c r="M81" s="44">
        <v>1.673208</v>
      </c>
      <c r="N81" s="41">
        <v>1.639273</v>
      </c>
      <c r="O81" s="41">
        <f t="shared" si="22"/>
        <v>-0.033935000000000048</v>
      </c>
      <c r="P81" s="41">
        <f t="shared" si="23"/>
        <v>0.033935000000000048</v>
      </c>
    </row>
    <row r="82">
      <c r="A82">
        <v>1072</v>
      </c>
      <c r="B82">
        <v>2207886.2969999998</v>
      </c>
      <c r="C82">
        <v>6730522.9539999999</v>
      </c>
      <c r="D82">
        <v>147.113</v>
      </c>
      <c r="E82">
        <v>795</v>
      </c>
      <c r="F82" s="45">
        <v>51.225067421266722</v>
      </c>
      <c r="G82" s="41">
        <v>1.55</v>
      </c>
      <c r="H82" s="41">
        <v>2.7766280000000001</v>
      </c>
      <c r="I82" s="41">
        <f t="shared" si="20"/>
        <v>1.2266280000000001</v>
      </c>
      <c r="J82" s="41">
        <f t="shared" si="21"/>
        <v>1.2266280000000001</v>
      </c>
      <c r="L82" s="45">
        <v>51.225067421266722</v>
      </c>
      <c r="M82" s="44">
        <v>1.8999999999999999</v>
      </c>
      <c r="N82" s="41">
        <v>2.1816599999999999</v>
      </c>
      <c r="O82" s="41">
        <f t="shared" si="22"/>
        <v>0.28166000000000002</v>
      </c>
      <c r="P82" s="41">
        <f t="shared" si="23"/>
        <v>0.28166000000000002</v>
      </c>
    </row>
    <row r="83">
      <c r="A83">
        <v>1073</v>
      </c>
      <c r="B83">
        <v>2207898.1540000001</v>
      </c>
      <c r="C83">
        <v>6730519.8099999996</v>
      </c>
      <c r="D83">
        <v>146.953</v>
      </c>
      <c r="E83">
        <v>795</v>
      </c>
      <c r="F83" s="45">
        <v>63.49181862153759</v>
      </c>
      <c r="G83" s="41">
        <v>2.5600000000000001</v>
      </c>
      <c r="H83" s="41">
        <v>2.6888230000000002</v>
      </c>
      <c r="I83" s="41">
        <f t="shared" si="20"/>
        <v>0.12882300000000013</v>
      </c>
      <c r="J83" s="41">
        <f t="shared" si="21"/>
        <v>0.12882300000000013</v>
      </c>
      <c r="L83" s="45">
        <v>63.49181862153759</v>
      </c>
      <c r="M83" s="44">
        <v>2.0012880000000002</v>
      </c>
      <c r="N83" s="41">
        <v>1.9842489999999999</v>
      </c>
      <c r="O83" s="41">
        <f t="shared" si="22"/>
        <v>-0.017039000000000248</v>
      </c>
      <c r="P83" s="41">
        <f t="shared" si="23"/>
        <v>0.017039000000000248</v>
      </c>
    </row>
    <row r="84">
      <c r="A84">
        <v>1074</v>
      </c>
      <c r="B84">
        <v>2207909.1499999999</v>
      </c>
      <c r="C84">
        <v>6730516.4900000002</v>
      </c>
      <c r="D84">
        <v>146.87100000000001</v>
      </c>
      <c r="E84">
        <v>795</v>
      </c>
      <c r="F84" s="45">
        <v>74.978089382390152</v>
      </c>
      <c r="G84" s="41">
        <v>3.1200000000000001</v>
      </c>
      <c r="H84" s="41">
        <v>2.7215349999999998</v>
      </c>
      <c r="I84" s="41">
        <f t="shared" si="20"/>
        <v>-0.39846500000000029</v>
      </c>
      <c r="J84" s="41">
        <f t="shared" si="21"/>
        <v>0.39846500000000029</v>
      </c>
      <c r="L84" s="45">
        <v>74.978089382390152</v>
      </c>
      <c r="M84" s="44">
        <v>2.1499999999999999</v>
      </c>
      <c r="N84" s="41">
        <v>1.9768889999999999</v>
      </c>
      <c r="O84" s="41">
        <f t="shared" si="22"/>
        <v>-0.17311100000000001</v>
      </c>
      <c r="P84" s="41">
        <f t="shared" si="23"/>
        <v>0.17311100000000001</v>
      </c>
    </row>
    <row r="85">
      <c r="A85">
        <v>1075</v>
      </c>
      <c r="B85">
        <v>2207921.2620000001</v>
      </c>
      <c r="C85">
        <v>6730514.227</v>
      </c>
      <c r="D85">
        <v>146.81100000000001</v>
      </c>
      <c r="E85">
        <v>795</v>
      </c>
      <c r="F85" s="45">
        <v>87.299684774464865</v>
      </c>
      <c r="G85" s="41">
        <v>3.3100000000000001</v>
      </c>
      <c r="H85" s="41">
        <v>3.0360149999999999</v>
      </c>
      <c r="I85" s="41">
        <f t="shared" si="20"/>
        <v>-0.27398500000000015</v>
      </c>
      <c r="J85" s="41">
        <f t="shared" si="21"/>
        <v>0.27398500000000015</v>
      </c>
      <c r="L85" s="45">
        <v>87.299684774464865</v>
      </c>
      <c r="M85" s="44">
        <v>2.1981360000000003</v>
      </c>
      <c r="N85" s="41">
        <v>2.1198999999999999</v>
      </c>
      <c r="O85" s="41">
        <f t="shared" si="22"/>
        <v>-0.078236000000000416</v>
      </c>
      <c r="P85" s="41">
        <f t="shared" si="23"/>
        <v>0.078236000000000416</v>
      </c>
    </row>
    <row r="86">
      <c r="A86">
        <v>1076</v>
      </c>
      <c r="B86">
        <v>2207935.8760000002</v>
      </c>
      <c r="C86">
        <v>6730511.4239999996</v>
      </c>
      <c r="D86">
        <v>146.65799999999999</v>
      </c>
      <c r="E86">
        <v>795</v>
      </c>
      <c r="F86" s="45">
        <v>102.1800680021729</v>
      </c>
      <c r="G86" s="41">
        <v>3.8799999999999999</v>
      </c>
      <c r="H86" s="41">
        <v>3.3542679999999998</v>
      </c>
      <c r="I86" s="41">
        <f t="shared" si="20"/>
        <v>-0.52573200000000009</v>
      </c>
      <c r="J86" s="41">
        <f t="shared" si="21"/>
        <v>0.52573200000000009</v>
      </c>
      <c r="L86" s="45">
        <v>102.1800680021729</v>
      </c>
      <c r="M86" s="44">
        <v>2.4500000000000002</v>
      </c>
      <c r="N86" s="41">
        <v>2.3340800000000002</v>
      </c>
      <c r="O86" s="41">
        <f t="shared" si="22"/>
        <v>-0.11592000000000002</v>
      </c>
      <c r="P86" s="41">
        <f t="shared" si="23"/>
        <v>0.11592000000000002</v>
      </c>
    </row>
    <row r="87">
      <c r="A87">
        <v>1077</v>
      </c>
      <c r="B87">
        <v>2207948.5690000001</v>
      </c>
      <c r="C87">
        <v>6730507.6440000003</v>
      </c>
      <c r="D87">
        <v>147.065</v>
      </c>
      <c r="E87">
        <v>795</v>
      </c>
      <c r="F87" s="45">
        <v>115.42395900875303</v>
      </c>
      <c r="G87" s="41">
        <v>3.5800000000000001</v>
      </c>
      <c r="H87" s="41">
        <v>3.3455940000000002</v>
      </c>
      <c r="I87" s="41">
        <f t="shared" si="20"/>
        <v>-0.23440599999999989</v>
      </c>
      <c r="J87" s="41">
        <f t="shared" si="21"/>
        <v>0.23440599999999989</v>
      </c>
      <c r="L87" s="45">
        <v>115.42395900875303</v>
      </c>
      <c r="M87" s="44">
        <v>2.1653280000000001</v>
      </c>
      <c r="N87" s="41">
        <v>2.4917410000000002</v>
      </c>
      <c r="O87" s="41">
        <f t="shared" si="22"/>
        <v>0.32641300000000006</v>
      </c>
      <c r="P87" s="41">
        <f t="shared" si="23"/>
        <v>0.32641300000000006</v>
      </c>
    </row>
    <row r="88">
      <c r="A88">
        <v>1078</v>
      </c>
      <c r="B88">
        <v>2207959.0619999999</v>
      </c>
      <c r="C88">
        <v>6730504.5449999999</v>
      </c>
      <c r="D88">
        <v>146.964</v>
      </c>
      <c r="E88">
        <v>795</v>
      </c>
      <c r="F88" s="45">
        <v>126.36502157131582</v>
      </c>
      <c r="G88" s="41">
        <v>3.5600000000000001</v>
      </c>
      <c r="H88" s="41">
        <v>2.9569179999999999</v>
      </c>
      <c r="I88" s="41">
        <f t="shared" si="20"/>
        <v>-0.60308200000000012</v>
      </c>
      <c r="J88" s="41">
        <f t="shared" si="21"/>
        <v>0.60308200000000012</v>
      </c>
      <c r="L88" s="45">
        <v>126.36502157131582</v>
      </c>
      <c r="M88" s="44">
        <v>1.95</v>
      </c>
      <c r="N88" s="41">
        <v>2.0362800000000001</v>
      </c>
      <c r="O88" s="41">
        <f t="shared" si="22"/>
        <v>0.086280000000000134</v>
      </c>
      <c r="P88" s="41">
        <f t="shared" si="23"/>
        <v>0.086280000000000134</v>
      </c>
    </row>
    <row r="89">
      <c r="A89">
        <v>1079</v>
      </c>
      <c r="B89">
        <v>2207971.247</v>
      </c>
      <c r="C89">
        <v>6730502.1270000003</v>
      </c>
      <c r="D89">
        <v>147.393</v>
      </c>
      <c r="E89">
        <v>795</v>
      </c>
      <c r="F89" s="45">
        <v>138.78761989048465</v>
      </c>
      <c r="G89" s="41">
        <v>2.7599999999999998</v>
      </c>
      <c r="H89" s="41">
        <v>2.5531329999999999</v>
      </c>
      <c r="I89" s="41">
        <f t="shared" si="20"/>
        <v>-0.20686699999999991</v>
      </c>
      <c r="J89" s="41">
        <f t="shared" si="21"/>
        <v>0.20686699999999991</v>
      </c>
      <c r="L89" s="45">
        <v>138.78761989048465</v>
      </c>
      <c r="M89" s="44">
        <v>1.541976</v>
      </c>
      <c r="N89" s="41">
        <v>1.9769950000000001</v>
      </c>
      <c r="O89" s="41">
        <f t="shared" si="22"/>
        <v>0.43501900000000004</v>
      </c>
      <c r="P89" s="41">
        <f t="shared" si="23"/>
        <v>0.43501900000000004</v>
      </c>
    </row>
    <row r="90">
      <c r="A90">
        <v>1080</v>
      </c>
      <c r="B90">
        <v>2207986.4589999998</v>
      </c>
      <c r="C90">
        <v>6730498.517</v>
      </c>
      <c r="D90">
        <v>147.476</v>
      </c>
      <c r="E90">
        <v>795</v>
      </c>
      <c r="F90" s="45">
        <v>154.42210242100333</v>
      </c>
      <c r="G90" s="41">
        <v>1.4399999999999999</v>
      </c>
      <c r="H90" s="41">
        <v>2.1503899999999998</v>
      </c>
      <c r="I90" s="41">
        <f t="shared" si="20"/>
        <v>0.71038999999999985</v>
      </c>
      <c r="J90" s="41">
        <f t="shared" si="21"/>
        <v>0.71038999999999985</v>
      </c>
      <c r="L90" s="45">
        <v>154.42210242100333</v>
      </c>
      <c r="M90" s="44">
        <v>1.3500000000000001</v>
      </c>
      <c r="N90" s="41">
        <v>1.7247429999999999</v>
      </c>
      <c r="O90" s="41">
        <f t="shared" si="22"/>
        <v>0.37474299999999983</v>
      </c>
      <c r="P90" s="41">
        <f t="shared" si="23"/>
        <v>0.37474299999999983</v>
      </c>
    </row>
    <row r="91">
      <c r="A91">
        <v>1081</v>
      </c>
      <c r="B91">
        <v>2207999.2749999999</v>
      </c>
      <c r="C91">
        <v>6730495.2079999996</v>
      </c>
      <c r="D91">
        <v>147.78200000000001</v>
      </c>
      <c r="E91">
        <v>795</v>
      </c>
      <c r="F91" s="45">
        <v>167.65839106265571</v>
      </c>
      <c r="G91" s="41">
        <v>0.39000000000000001</v>
      </c>
      <c r="H91" s="41">
        <v>1.738982</v>
      </c>
      <c r="I91" s="41">
        <f t="shared" si="20"/>
        <v>1.3489819999999999</v>
      </c>
      <c r="J91" s="41">
        <f t="shared" si="21"/>
        <v>1.3489819999999999</v>
      </c>
      <c r="L91" s="45">
        <v>167.65839106265571</v>
      </c>
      <c r="M91" s="44">
        <v>0.88581600000000005</v>
      </c>
      <c r="N91" s="41">
        <v>1.271498</v>
      </c>
      <c r="O91" s="41">
        <f t="shared" si="22"/>
        <v>0.38568199999999997</v>
      </c>
      <c r="P91" s="41">
        <f t="shared" si="23"/>
        <v>0.38568199999999997</v>
      </c>
    </row>
    <row r="92">
      <c r="A92">
        <v>1082</v>
      </c>
      <c r="B92">
        <v>2208011.3810000001</v>
      </c>
      <c r="C92">
        <v>6730491.3629999999</v>
      </c>
      <c r="D92">
        <v>147.83500000000001</v>
      </c>
      <c r="E92">
        <v>795</v>
      </c>
      <c r="F92" s="45">
        <v>180.36033032410364</v>
      </c>
      <c r="G92" s="41">
        <v>0.17999999999999999</v>
      </c>
      <c r="H92" s="41">
        <v>0.32167000000000001</v>
      </c>
      <c r="I92" s="41">
        <f t="shared" si="20"/>
        <v>0.14167000000000002</v>
      </c>
      <c r="J92" s="41">
        <f t="shared" si="21"/>
        <v>0.14167000000000002</v>
      </c>
      <c r="L92" s="45">
        <v>180.36033032410364</v>
      </c>
      <c r="M92" s="44">
        <v>1.05</v>
      </c>
      <c r="N92" s="41">
        <v>0</v>
      </c>
      <c r="O92" s="41">
        <f t="shared" si="22"/>
        <v>-1.05</v>
      </c>
      <c r="P92" s="41">
        <f t="shared" si="23"/>
        <v>1.05</v>
      </c>
    </row>
    <row r="93">
      <c r="A93">
        <v>1083</v>
      </c>
      <c r="B93">
        <v>2208022.0159999998</v>
      </c>
      <c r="C93">
        <v>6730488.7019999996</v>
      </c>
      <c r="D93">
        <v>147.596</v>
      </c>
      <c r="E93">
        <v>795</v>
      </c>
      <c r="F93" s="45">
        <v>191.32318332854146</v>
      </c>
      <c r="G93" s="41">
        <v>0.10000000000000001</v>
      </c>
      <c r="H93" s="41">
        <v>0.16052900000000001</v>
      </c>
      <c r="I93" s="41">
        <f t="shared" si="20"/>
        <v>0.060528999999999999</v>
      </c>
      <c r="J93" s="41">
        <f t="shared" si="21"/>
        <v>0.060528999999999999</v>
      </c>
      <c r="L93" s="45">
        <v>191.32318332854146</v>
      </c>
      <c r="M93" s="44">
        <v>1.410744</v>
      </c>
      <c r="N93" s="41">
        <v>0</v>
      </c>
      <c r="O93" s="41">
        <f t="shared" si="22"/>
        <v>-1.410744</v>
      </c>
      <c r="P93" s="41">
        <f t="shared" si="23"/>
        <v>1.410744</v>
      </c>
    </row>
    <row r="94">
      <c r="A94" s="33" t="s">
        <v>93</v>
      </c>
      <c r="B94" s="4"/>
      <c r="C94" s="4"/>
      <c r="D94" s="4"/>
      <c r="E94" s="4"/>
      <c r="F94" s="43"/>
      <c r="G94" s="42"/>
      <c r="H94" s="42"/>
      <c r="I94" s="42"/>
      <c r="J94" s="42"/>
      <c r="L94" s="43"/>
      <c r="M94" s="44"/>
      <c r="O94" s="42"/>
      <c r="P94" s="42"/>
    </row>
    <row r="95">
      <c r="A95">
        <v>1084</v>
      </c>
      <c r="B95">
        <v>2202392.3769999999</v>
      </c>
      <c r="C95">
        <v>6718948.432</v>
      </c>
      <c r="D95">
        <v>108.044</v>
      </c>
      <c r="E95">
        <v>539</v>
      </c>
      <c r="F95" s="41">
        <v>4.7158461597257313</v>
      </c>
      <c r="G95" s="41">
        <v>0.75</v>
      </c>
      <c r="H95" s="41">
        <v>2.6615030000000002</v>
      </c>
      <c r="I95" s="41">
        <f>H95-G95</f>
        <v>1.9115030000000002</v>
      </c>
      <c r="J95" s="41">
        <f t="shared" ref="J95:J107" si="24">ABS(I95)</f>
        <v>1.9115030000000002</v>
      </c>
      <c r="L95" s="41">
        <v>4.7158461597257313</v>
      </c>
      <c r="M95" s="44">
        <v>0.91862400000000011</v>
      </c>
      <c r="N95" s="41">
        <v>0.46264899999999998</v>
      </c>
      <c r="O95" s="41">
        <f>N95-M95</f>
        <v>-0.45597500000000013</v>
      </c>
      <c r="P95" s="41">
        <f t="shared" ref="P95:P107" si="25">ABS(O95)</f>
        <v>0.45597500000000013</v>
      </c>
    </row>
    <row r="96">
      <c r="A96">
        <v>1085</v>
      </c>
      <c r="B96">
        <v>2202386.7170000002</v>
      </c>
      <c r="C96">
        <v>6718955.3770000003</v>
      </c>
      <c r="D96">
        <v>107.562</v>
      </c>
      <c r="E96">
        <v>539</v>
      </c>
      <c r="F96" s="41">
        <v>13.675122079160015</v>
      </c>
      <c r="G96" s="41">
        <v>3.8799999999999999</v>
      </c>
      <c r="H96" s="41">
        <v>4.856738</v>
      </c>
      <c r="I96" s="41">
        <f t="shared" ref="I96:I159" si="26">H96-G96</f>
        <v>0.97673800000000011</v>
      </c>
      <c r="J96" s="41">
        <f t="shared" si="24"/>
        <v>0.97673800000000011</v>
      </c>
      <c r="L96" s="41">
        <v>13.675122079160015</v>
      </c>
      <c r="M96" s="44">
        <v>1.6000000000000001</v>
      </c>
      <c r="N96" s="41">
        <v>1.542297</v>
      </c>
      <c r="O96" s="41">
        <f t="shared" ref="O96:O107" si="27">N96-M96</f>
        <v>-0.05770300000000006</v>
      </c>
      <c r="P96" s="41">
        <f t="shared" si="25"/>
        <v>0.05770300000000006</v>
      </c>
    </row>
    <row r="97">
      <c r="A97">
        <v>1086</v>
      </c>
      <c r="B97">
        <v>2202383.1579999998</v>
      </c>
      <c r="C97">
        <v>6718962.0089999996</v>
      </c>
      <c r="D97">
        <v>106.89</v>
      </c>
      <c r="E97">
        <v>539</v>
      </c>
      <c r="F97" s="41">
        <v>21.201735194835514</v>
      </c>
      <c r="G97" s="41">
        <v>4.4900000000000002</v>
      </c>
      <c r="H97" s="41">
        <v>5.7931929999999996</v>
      </c>
      <c r="I97" s="41">
        <f t="shared" si="26"/>
        <v>1.3031929999999994</v>
      </c>
      <c r="J97" s="41">
        <f t="shared" si="24"/>
        <v>1.3031929999999994</v>
      </c>
      <c r="L97" s="41">
        <v>21.201735194835514</v>
      </c>
      <c r="M97" s="44">
        <v>2.0997120000000002</v>
      </c>
      <c r="N97" s="41">
        <v>2.215732</v>
      </c>
      <c r="O97" s="41">
        <f t="shared" si="27"/>
        <v>0.11601999999999979</v>
      </c>
      <c r="P97" s="41">
        <f t="shared" si="25"/>
        <v>0.11601999999999979</v>
      </c>
    </row>
    <row r="98">
      <c r="A98">
        <v>1087</v>
      </c>
      <c r="B98">
        <v>2202378.5819999999</v>
      </c>
      <c r="C98">
        <v>6718969.1610000003</v>
      </c>
      <c r="D98">
        <v>106.843</v>
      </c>
      <c r="E98">
        <v>539</v>
      </c>
      <c r="F98" s="41">
        <v>29.692370036174587</v>
      </c>
      <c r="G98" s="41">
        <v>4.04</v>
      </c>
      <c r="H98" s="41">
        <v>6.309971</v>
      </c>
      <c r="I98" s="41">
        <f t="shared" si="26"/>
        <v>2.269971</v>
      </c>
      <c r="J98" s="41">
        <f t="shared" si="24"/>
        <v>2.269971</v>
      </c>
      <c r="L98" s="41">
        <v>29.692370036174587</v>
      </c>
      <c r="M98" s="44">
        <v>1.5</v>
      </c>
      <c r="N98" s="41">
        <v>2.431565</v>
      </c>
      <c r="O98" s="41">
        <f t="shared" si="27"/>
        <v>0.93156499999999998</v>
      </c>
      <c r="P98" s="41">
        <f t="shared" si="25"/>
        <v>0.93156499999999998</v>
      </c>
    </row>
    <row r="99">
      <c r="A99">
        <v>1088</v>
      </c>
      <c r="B99">
        <v>2202373.1260000002</v>
      </c>
      <c r="C99">
        <v>6718977.568</v>
      </c>
      <c r="D99">
        <v>107.124</v>
      </c>
      <c r="E99">
        <v>539</v>
      </c>
      <c r="F99" s="41">
        <v>39.714624522654049</v>
      </c>
      <c r="G99" s="41">
        <v>4.4800000000000004</v>
      </c>
      <c r="H99" s="41">
        <v>6.4902100000000003</v>
      </c>
      <c r="I99" s="41">
        <f t="shared" si="26"/>
        <v>2.0102099999999998</v>
      </c>
      <c r="J99" s="41">
        <f t="shared" si="24"/>
        <v>2.0102099999999998</v>
      </c>
      <c r="L99" s="41">
        <v>39.714624522654049</v>
      </c>
      <c r="M99" s="44">
        <v>2</v>
      </c>
      <c r="N99" s="41">
        <v>1.8967069999999999</v>
      </c>
      <c r="O99" s="41">
        <f t="shared" si="27"/>
        <v>-0.10329300000000008</v>
      </c>
      <c r="P99" s="41">
        <f t="shared" si="25"/>
        <v>0.10329300000000008</v>
      </c>
    </row>
    <row r="100">
      <c r="A100">
        <v>1089</v>
      </c>
      <c r="B100">
        <v>2202367.2239999999</v>
      </c>
      <c r="C100">
        <v>6718985.5410000002</v>
      </c>
      <c r="D100">
        <v>108.384</v>
      </c>
      <c r="E100">
        <v>539</v>
      </c>
      <c r="F100" s="41">
        <v>49.63441953094194</v>
      </c>
      <c r="G100" s="41">
        <v>3.5099999999999998</v>
      </c>
      <c r="H100" s="41">
        <v>5.7343159999999997</v>
      </c>
      <c r="I100" s="41">
        <f t="shared" si="26"/>
        <v>2.224316</v>
      </c>
      <c r="J100" s="41">
        <f t="shared" si="24"/>
        <v>2.224316</v>
      </c>
      <c r="L100" s="41">
        <v>49.63441953094194</v>
      </c>
      <c r="M100" s="44">
        <v>0.75458400000000003</v>
      </c>
      <c r="N100" s="41">
        <v>1.0168299999999999</v>
      </c>
      <c r="O100" s="41">
        <f t="shared" si="27"/>
        <v>0.26224599999999987</v>
      </c>
      <c r="P100" s="41">
        <f t="shared" si="25"/>
        <v>0.26224599999999987</v>
      </c>
    </row>
    <row r="101">
      <c r="A101">
        <v>1090</v>
      </c>
      <c r="B101">
        <v>2202360.861</v>
      </c>
      <c r="C101">
        <v>6718992.6279999996</v>
      </c>
      <c r="D101">
        <v>107.854</v>
      </c>
      <c r="E101">
        <v>539</v>
      </c>
      <c r="F101" s="41">
        <v>59.158774521679661</v>
      </c>
      <c r="G101" s="41">
        <v>0.89000000000000001</v>
      </c>
      <c r="H101" s="41">
        <v>3.583205</v>
      </c>
      <c r="I101" s="41">
        <f t="shared" si="26"/>
        <v>2.6932049999999998</v>
      </c>
      <c r="J101" s="41">
        <f t="shared" si="24"/>
        <v>2.6932049999999998</v>
      </c>
      <c r="L101" s="41">
        <v>59.158774521679661</v>
      </c>
      <c r="M101" s="44">
        <v>0.91862400000000011</v>
      </c>
      <c r="N101" s="41">
        <v>0.49118299999999998</v>
      </c>
      <c r="O101" s="41">
        <f t="shared" si="27"/>
        <v>-0.42744100000000013</v>
      </c>
      <c r="P101" s="41">
        <f t="shared" si="25"/>
        <v>0.42744100000000013</v>
      </c>
    </row>
    <row r="102">
      <c r="A102">
        <v>1091</v>
      </c>
      <c r="B102">
        <v>2202353.551</v>
      </c>
      <c r="C102">
        <v>6718999.5580000002</v>
      </c>
      <c r="D102">
        <v>106.851</v>
      </c>
      <c r="E102">
        <v>539</v>
      </c>
      <c r="F102" s="41">
        <v>69.23155963849787</v>
      </c>
      <c r="G102" s="41">
        <v>3.8300000000000001</v>
      </c>
      <c r="H102" s="41">
        <v>2.2105519999999999</v>
      </c>
      <c r="I102" s="41">
        <f t="shared" si="26"/>
        <v>-1.6194480000000002</v>
      </c>
      <c r="J102" s="41">
        <f t="shared" si="24"/>
        <v>1.6194480000000002</v>
      </c>
      <c r="L102" s="41">
        <v>69.23155963849787</v>
      </c>
      <c r="M102" s="44">
        <v>1.8</v>
      </c>
      <c r="N102" s="41">
        <v>0.164743</v>
      </c>
      <c r="O102" s="41">
        <f t="shared" si="27"/>
        <v>-1.635257</v>
      </c>
      <c r="P102" s="41">
        <f t="shared" si="25"/>
        <v>1.635257</v>
      </c>
    </row>
    <row r="103">
      <c r="A103">
        <v>1092</v>
      </c>
      <c r="B103">
        <v>2202346.8130000001</v>
      </c>
      <c r="C103">
        <v>6719005.0820000004</v>
      </c>
      <c r="D103">
        <v>107.006</v>
      </c>
      <c r="E103">
        <v>539</v>
      </c>
      <c r="F103" s="41">
        <v>77.944493702342214</v>
      </c>
      <c r="G103" s="41">
        <v>3.4100000000000001</v>
      </c>
      <c r="H103" s="41">
        <v>2.3812609999999999</v>
      </c>
      <c r="I103" s="41">
        <f t="shared" si="26"/>
        <v>-1.0287390000000003</v>
      </c>
      <c r="J103" s="41">
        <f t="shared" si="24"/>
        <v>1.0287390000000003</v>
      </c>
      <c r="L103" s="41">
        <v>77.944493702342214</v>
      </c>
      <c r="M103" s="44">
        <v>1.9028639999999999</v>
      </c>
      <c r="N103" s="41">
        <v>0.125498</v>
      </c>
      <c r="O103" s="41">
        <f t="shared" si="27"/>
        <v>-1.7773659999999998</v>
      </c>
      <c r="P103" s="41">
        <f t="shared" si="25"/>
        <v>1.7773659999999998</v>
      </c>
    </row>
    <row r="104">
      <c r="A104">
        <v>1093</v>
      </c>
      <c r="B104">
        <v>2202339.4559999998</v>
      </c>
      <c r="C104">
        <v>6719010.9800000004</v>
      </c>
      <c r="D104">
        <v>106.604</v>
      </c>
      <c r="E104">
        <v>539</v>
      </c>
      <c r="F104" s="41">
        <v>87.373801895686881</v>
      </c>
      <c r="G104" s="41">
        <v>1.22</v>
      </c>
      <c r="H104" s="41">
        <v>2.306254</v>
      </c>
      <c r="I104" s="41">
        <f t="shared" si="26"/>
        <v>1.0862540000000001</v>
      </c>
      <c r="J104" s="41">
        <f t="shared" si="24"/>
        <v>1.0862540000000001</v>
      </c>
      <c r="L104" s="41">
        <v>87.373801895686881</v>
      </c>
      <c r="M104" s="44">
        <v>2.3999999999999999</v>
      </c>
      <c r="N104" s="41">
        <v>0.11953999999999999</v>
      </c>
      <c r="O104" s="41">
        <f t="shared" si="27"/>
        <v>-2.2804599999999997</v>
      </c>
      <c r="P104" s="41">
        <f t="shared" si="25"/>
        <v>2.2804599999999997</v>
      </c>
    </row>
    <row r="105">
      <c r="A105">
        <v>1094</v>
      </c>
      <c r="B105">
        <v>2202331.2009999999</v>
      </c>
      <c r="C105">
        <v>6719018.3679999998</v>
      </c>
      <c r="D105">
        <v>107.929</v>
      </c>
      <c r="E105">
        <v>539</v>
      </c>
      <c r="F105" s="41">
        <v>98.452049455132226</v>
      </c>
      <c r="G105" s="41">
        <v>3.7400000000000002</v>
      </c>
      <c r="H105" s="41">
        <v>1.8878140000000001</v>
      </c>
      <c r="I105" s="41">
        <f t="shared" si="26"/>
        <v>-1.8521860000000001</v>
      </c>
      <c r="J105" s="41">
        <f t="shared" si="24"/>
        <v>1.8521860000000001</v>
      </c>
      <c r="L105" s="41">
        <v>98.452049455132226</v>
      </c>
      <c r="M105" s="44">
        <v>1.1154720000000002</v>
      </c>
      <c r="N105" s="41">
        <v>0.164882</v>
      </c>
      <c r="O105" s="41">
        <f t="shared" si="27"/>
        <v>-0.95059000000000027</v>
      </c>
      <c r="P105" s="41">
        <f t="shared" si="25"/>
        <v>0.95059000000000027</v>
      </c>
    </row>
    <row r="106">
      <c r="A106">
        <v>1095</v>
      </c>
      <c r="B106">
        <v>2202319.3999999999</v>
      </c>
      <c r="C106">
        <v>6719026.1859999998</v>
      </c>
      <c r="D106">
        <v>108.361</v>
      </c>
      <c r="E106">
        <v>539</v>
      </c>
      <c r="F106" s="41">
        <v>112.60778062660502</v>
      </c>
      <c r="G106" s="41">
        <v>0.83999999999999997</v>
      </c>
      <c r="H106" s="41">
        <v>1.6053550000000001</v>
      </c>
      <c r="I106" s="41">
        <f t="shared" si="26"/>
        <v>0.76535500000000012</v>
      </c>
      <c r="J106" s="41">
        <f t="shared" si="24"/>
        <v>0.76535500000000012</v>
      </c>
      <c r="L106" s="41">
        <v>112.60778062660502</v>
      </c>
      <c r="M106" s="44">
        <v>0.59999999999999998</v>
      </c>
      <c r="N106" s="41">
        <v>0.26227499999999998</v>
      </c>
      <c r="O106" s="41">
        <f t="shared" si="27"/>
        <v>-0.337725</v>
      </c>
      <c r="P106" s="41">
        <f t="shared" si="25"/>
        <v>0.337725</v>
      </c>
    </row>
    <row r="107">
      <c r="A107">
        <v>1096</v>
      </c>
      <c r="B107">
        <v>2202314.426</v>
      </c>
      <c r="C107">
        <v>6719029.2539999997</v>
      </c>
      <c r="D107">
        <v>108.307</v>
      </c>
      <c r="E107">
        <v>539</v>
      </c>
      <c r="F107" s="41">
        <v>118.4518631037021</v>
      </c>
      <c r="G107" s="41">
        <v>0.39000000000000001</v>
      </c>
      <c r="H107" s="41">
        <v>1.250189</v>
      </c>
      <c r="I107" s="41">
        <f t="shared" si="26"/>
        <v>0.86018899999999998</v>
      </c>
      <c r="J107" s="41">
        <f t="shared" si="24"/>
        <v>0.86018899999999998</v>
      </c>
      <c r="L107" s="41">
        <v>118.4518631037021</v>
      </c>
      <c r="M107" s="44">
        <v>0.32808000000000004</v>
      </c>
      <c r="N107" s="41">
        <v>0.282831</v>
      </c>
      <c r="O107" s="41">
        <f t="shared" si="27"/>
        <v>-0.045249000000000039</v>
      </c>
      <c r="P107" s="41">
        <f t="shared" si="25"/>
        <v>0.045249000000000039</v>
      </c>
    </row>
    <row r="108">
      <c r="A108" s="1" t="s">
        <v>90</v>
      </c>
      <c r="M108" s="44"/>
    </row>
    <row r="109">
      <c r="A109">
        <v>1097</v>
      </c>
      <c r="B109">
        <v>2201807.8119999999</v>
      </c>
      <c r="C109">
        <v>6718418.6390000004</v>
      </c>
      <c r="D109">
        <v>107.675</v>
      </c>
      <c r="E109">
        <v>539</v>
      </c>
      <c r="F109" s="41">
        <v>11.30655177278736</v>
      </c>
      <c r="G109" s="41">
        <v>0.62</v>
      </c>
      <c r="H109" s="41">
        <v>0.27717199999999997</v>
      </c>
      <c r="I109" s="41">
        <f t="shared" si="26"/>
        <v>-0.34282800000000002</v>
      </c>
      <c r="J109" s="41">
        <f t="shared" ref="J109:J124" si="28">ABS(I109)</f>
        <v>0.34282800000000002</v>
      </c>
      <c r="L109" s="41">
        <v>11.30655177278736</v>
      </c>
      <c r="M109" s="44">
        <v>0.82020000000000004</v>
      </c>
      <c r="N109" s="41">
        <v>0.30237599999999998</v>
      </c>
      <c r="O109" s="41">
        <f t="shared" ref="O109:O124" si="29">N109-M109</f>
        <v>-0.51782400000000006</v>
      </c>
      <c r="P109" s="41">
        <f t="shared" ref="P109:P124" si="30">ABS(O109)</f>
        <v>0.51782400000000006</v>
      </c>
    </row>
    <row r="110">
      <c r="A110">
        <v>1098</v>
      </c>
      <c r="B110">
        <v>2201817.0260000001</v>
      </c>
      <c r="C110">
        <v>6718411.0839999998</v>
      </c>
      <c r="D110">
        <v>106.994</v>
      </c>
      <c r="E110">
        <v>539</v>
      </c>
      <c r="F110" s="41">
        <v>23.221912489626099</v>
      </c>
      <c r="G110" s="41">
        <v>1.0800000000000001</v>
      </c>
      <c r="H110" s="41">
        <v>0.63175599999999998</v>
      </c>
      <c r="I110" s="41">
        <f t="shared" si="26"/>
        <v>-0.44824400000000009</v>
      </c>
      <c r="J110" s="41">
        <f t="shared" si="28"/>
        <v>0.44824400000000009</v>
      </c>
      <c r="L110" s="41">
        <v>23.221912489626099</v>
      </c>
      <c r="M110" s="44">
        <v>1.4763600000000001</v>
      </c>
      <c r="N110" s="41">
        <v>0.98167199999999999</v>
      </c>
      <c r="O110" s="41">
        <f t="shared" si="29"/>
        <v>-0.49468800000000013</v>
      </c>
      <c r="P110" s="41">
        <f t="shared" si="30"/>
        <v>0.49468800000000013</v>
      </c>
    </row>
    <row r="111">
      <c r="A111">
        <v>1099</v>
      </c>
      <c r="B111">
        <v>2201825.301</v>
      </c>
      <c r="C111">
        <v>6718405.7819999997</v>
      </c>
      <c r="D111">
        <v>106.84999999999999</v>
      </c>
      <c r="E111">
        <v>539</v>
      </c>
      <c r="F111" s="41">
        <v>33.049772327859436</v>
      </c>
      <c r="G111" s="41">
        <v>0.89000000000000001</v>
      </c>
      <c r="H111" s="41">
        <v>0.85203700000000004</v>
      </c>
      <c r="I111" s="41">
        <f t="shared" si="26"/>
        <v>-0.037962999999999969</v>
      </c>
      <c r="J111" s="41">
        <f t="shared" si="28"/>
        <v>0.037962999999999969</v>
      </c>
      <c r="L111" s="41">
        <v>33.049772327859436</v>
      </c>
      <c r="M111" s="44">
        <v>1.5</v>
      </c>
      <c r="N111" s="41">
        <v>1.5163009999999999</v>
      </c>
      <c r="O111" s="41">
        <f t="shared" si="29"/>
        <v>0.016300999999999899</v>
      </c>
      <c r="P111" s="41">
        <f t="shared" si="30"/>
        <v>0.016300999999999899</v>
      </c>
    </row>
    <row r="112">
      <c r="A112">
        <v>1100</v>
      </c>
      <c r="B112">
        <v>2201833.8909999998</v>
      </c>
      <c r="C112">
        <v>6718400.7070000004</v>
      </c>
      <c r="D112">
        <v>106.602</v>
      </c>
      <c r="E112">
        <v>539</v>
      </c>
      <c r="F112" s="41">
        <v>43.026932494453817</v>
      </c>
      <c r="G112" s="41">
        <v>1.1499999999999999</v>
      </c>
      <c r="H112" s="41">
        <v>1.0036039999999999</v>
      </c>
      <c r="I112" s="41">
        <f t="shared" si="26"/>
        <v>-0.14639599999999997</v>
      </c>
      <c r="J112" s="41">
        <f t="shared" si="28"/>
        <v>0.14639599999999997</v>
      </c>
      <c r="L112" s="41">
        <v>43.026932494453817</v>
      </c>
      <c r="M112" s="44">
        <v>1.8372480000000002</v>
      </c>
      <c r="N112" s="41">
        <v>2.0043280000000001</v>
      </c>
      <c r="O112" s="41">
        <f t="shared" si="29"/>
        <v>0.1670799999999999</v>
      </c>
      <c r="P112" s="41">
        <f t="shared" si="30"/>
        <v>0.1670799999999999</v>
      </c>
    </row>
    <row r="113">
      <c r="A113">
        <v>1101</v>
      </c>
      <c r="B113">
        <v>2201843.426</v>
      </c>
      <c r="C113">
        <v>6718393.6169999996</v>
      </c>
      <c r="D113">
        <v>106.283</v>
      </c>
      <c r="E113">
        <v>539</v>
      </c>
      <c r="F113" s="41">
        <v>54.909033529789902</v>
      </c>
      <c r="G113" s="41">
        <v>1.0600000000000001</v>
      </c>
      <c r="H113" s="41">
        <v>1.1063590000000001</v>
      </c>
      <c r="I113" s="41">
        <f t="shared" si="26"/>
        <v>0.046359000000000039</v>
      </c>
      <c r="J113" s="41">
        <f t="shared" si="28"/>
        <v>0.046359000000000039</v>
      </c>
      <c r="L113" s="41">
        <v>54.909033529789902</v>
      </c>
      <c r="M113" s="44">
        <v>2.2000000000000002</v>
      </c>
      <c r="N113" s="41">
        <v>2.1759810000000002</v>
      </c>
      <c r="O113" s="41">
        <f t="shared" si="29"/>
        <v>-0.024019000000000013</v>
      </c>
      <c r="P113" s="41">
        <f t="shared" si="30"/>
        <v>0.024019000000000013</v>
      </c>
    </row>
    <row r="114">
      <c r="A114">
        <v>1102</v>
      </c>
      <c r="B114">
        <v>2201851.5839999998</v>
      </c>
      <c r="C114">
        <v>6718386.7220000001</v>
      </c>
      <c r="D114">
        <v>106.096</v>
      </c>
      <c r="E114">
        <v>539</v>
      </c>
      <c r="F114" s="41">
        <v>65.590512312754271</v>
      </c>
      <c r="G114" s="41">
        <v>1.28</v>
      </c>
      <c r="H114" s="41">
        <v>1.142069</v>
      </c>
      <c r="I114" s="41">
        <f t="shared" si="26"/>
        <v>-0.13793100000000003</v>
      </c>
      <c r="J114" s="41">
        <f t="shared" si="28"/>
        <v>0.13793100000000003</v>
      </c>
      <c r="L114" s="41">
        <v>65.590512312754271</v>
      </c>
      <c r="M114" s="44">
        <v>2.3293680000000001</v>
      </c>
      <c r="N114" s="41">
        <v>2.317329</v>
      </c>
      <c r="O114" s="41">
        <f t="shared" si="29"/>
        <v>-0.012039000000000133</v>
      </c>
      <c r="P114" s="41">
        <f t="shared" si="30"/>
        <v>0.012039000000000133</v>
      </c>
    </row>
    <row r="115">
      <c r="A115">
        <v>1103</v>
      </c>
      <c r="B115">
        <v>2201860.8939999999</v>
      </c>
      <c r="C115">
        <v>6718379.7520000003</v>
      </c>
      <c r="D115">
        <v>106.062</v>
      </c>
      <c r="E115">
        <v>539</v>
      </c>
      <c r="F115" s="41">
        <v>77.220516611868064</v>
      </c>
      <c r="G115" s="41">
        <v>1.1599999999999999</v>
      </c>
      <c r="H115" s="41">
        <v>1.169815</v>
      </c>
      <c r="I115" s="41">
        <f t="shared" si="26"/>
        <v>0.0098150000000001292</v>
      </c>
      <c r="J115" s="41">
        <f t="shared" si="28"/>
        <v>0.0098150000000001292</v>
      </c>
      <c r="L115" s="41">
        <v>77.220516611868064</v>
      </c>
      <c r="M115" s="44">
        <v>2.3999999999999999</v>
      </c>
      <c r="N115" s="41">
        <v>2.4741569999999999</v>
      </c>
      <c r="O115" s="41">
        <f t="shared" si="29"/>
        <v>0.074157000000000028</v>
      </c>
      <c r="P115" s="41">
        <f t="shared" si="30"/>
        <v>0.074157000000000028</v>
      </c>
    </row>
    <row r="116">
      <c r="A116">
        <v>1104</v>
      </c>
      <c r="B116">
        <v>2201869.145</v>
      </c>
      <c r="C116">
        <v>6718371.7819999997</v>
      </c>
      <c r="D116">
        <v>106.142</v>
      </c>
      <c r="E116">
        <v>539</v>
      </c>
      <c r="F116" s="41">
        <v>88.692216617246231</v>
      </c>
      <c r="G116" s="41">
        <v>1.25</v>
      </c>
      <c r="H116" s="41">
        <v>1.206383</v>
      </c>
      <c r="I116" s="41">
        <f t="shared" si="26"/>
        <v>-0.043617000000000017</v>
      </c>
      <c r="J116" s="41">
        <f t="shared" si="28"/>
        <v>0.043617000000000017</v>
      </c>
      <c r="L116" s="41">
        <v>88.692216617246231</v>
      </c>
      <c r="M116" s="44">
        <v>2.2965599999999999</v>
      </c>
      <c r="N116" s="41">
        <v>2.6118769999999998</v>
      </c>
      <c r="O116" s="41">
        <f t="shared" si="29"/>
        <v>0.31531699999999985</v>
      </c>
      <c r="P116" s="41">
        <f t="shared" si="30"/>
        <v>0.31531699999999985</v>
      </c>
    </row>
    <row r="117">
      <c r="A117">
        <v>1105</v>
      </c>
      <c r="B117">
        <v>2201878.9810000001</v>
      </c>
      <c r="C117">
        <v>6718364.1529999999</v>
      </c>
      <c r="D117">
        <v>106.34699999999999</v>
      </c>
      <c r="E117">
        <v>539</v>
      </c>
      <c r="F117" s="41">
        <v>101.14004923976673</v>
      </c>
      <c r="G117" s="41">
        <v>1.1100000000000001</v>
      </c>
      <c r="H117" s="41">
        <v>1.228458</v>
      </c>
      <c r="I117" s="41">
        <f t="shared" si="26"/>
        <v>0.11845799999999995</v>
      </c>
      <c r="J117" s="41">
        <f t="shared" si="28"/>
        <v>0.11845799999999995</v>
      </c>
      <c r="L117" s="41">
        <v>101.14004923976673</v>
      </c>
      <c r="M117" s="44">
        <v>2.2999999999999998</v>
      </c>
      <c r="N117" s="41">
        <v>2.6917490000000002</v>
      </c>
      <c r="O117" s="41">
        <f t="shared" si="29"/>
        <v>0.39174900000000035</v>
      </c>
      <c r="P117" s="41">
        <f t="shared" si="30"/>
        <v>0.39174900000000035</v>
      </c>
    </row>
    <row r="118">
      <c r="A118">
        <v>1106</v>
      </c>
      <c r="B118">
        <v>2201888.0780000002</v>
      </c>
      <c r="C118">
        <v>6718355.8030000003</v>
      </c>
      <c r="D118">
        <v>105.93899999999999</v>
      </c>
      <c r="E118">
        <v>539</v>
      </c>
      <c r="F118" s="41">
        <v>113.48824380395297</v>
      </c>
      <c r="G118" s="41">
        <v>1.3100000000000001</v>
      </c>
      <c r="H118" s="41">
        <v>1.293272</v>
      </c>
      <c r="I118" s="41">
        <f t="shared" si="26"/>
        <v>-0.016728000000000076</v>
      </c>
      <c r="J118" s="41">
        <f t="shared" si="28"/>
        <v>0.016728000000000076</v>
      </c>
      <c r="L118" s="41">
        <v>113.48824380395297</v>
      </c>
      <c r="M118" s="44">
        <v>2.4606000000000003</v>
      </c>
      <c r="N118" s="41">
        <v>3.137464</v>
      </c>
      <c r="O118" s="41">
        <f t="shared" si="29"/>
        <v>0.67686399999999969</v>
      </c>
      <c r="P118" s="41">
        <f t="shared" si="30"/>
        <v>0.67686399999999969</v>
      </c>
    </row>
    <row r="119">
      <c r="A119">
        <v>1107</v>
      </c>
      <c r="B119">
        <v>2201899.557</v>
      </c>
      <c r="C119">
        <v>6718345.7309999997</v>
      </c>
      <c r="D119">
        <v>105.789</v>
      </c>
      <c r="E119">
        <v>539</v>
      </c>
      <c r="F119" s="41">
        <v>128.75954450194251</v>
      </c>
      <c r="G119" s="41">
        <v>1.4399999999999999</v>
      </c>
      <c r="H119" s="41">
        <v>1.331753</v>
      </c>
      <c r="I119" s="41">
        <f t="shared" si="26"/>
        <v>-0.10824699999999998</v>
      </c>
      <c r="J119" s="41">
        <f t="shared" si="28"/>
        <v>0.10824699999999998</v>
      </c>
      <c r="L119" s="41">
        <v>128.75954450194251</v>
      </c>
      <c r="M119" s="44">
        <v>2.7000000000000002</v>
      </c>
      <c r="N119" s="41">
        <v>2.8307340000000001</v>
      </c>
      <c r="O119" s="41">
        <f t="shared" si="29"/>
        <v>0.13073399999999991</v>
      </c>
      <c r="P119" s="41">
        <f t="shared" si="30"/>
        <v>0.13073399999999991</v>
      </c>
    </row>
    <row r="120">
      <c r="A120">
        <v>1108</v>
      </c>
      <c r="B120">
        <v>2201908.702</v>
      </c>
      <c r="C120">
        <v>6718338.7209999999</v>
      </c>
      <c r="D120">
        <v>105.545</v>
      </c>
      <c r="E120">
        <v>539</v>
      </c>
      <c r="F120" s="41">
        <v>140.28217983407063</v>
      </c>
      <c r="G120" s="41">
        <v>1.3799999999999999</v>
      </c>
      <c r="H120" s="41">
        <v>1.3514109999999999</v>
      </c>
      <c r="I120" s="41">
        <f t="shared" si="26"/>
        <v>-0.028588999999999976</v>
      </c>
      <c r="J120" s="41">
        <f t="shared" si="28"/>
        <v>0.028588999999999976</v>
      </c>
      <c r="L120" s="41">
        <v>140.28217983407063</v>
      </c>
      <c r="M120" s="44">
        <v>2.821488</v>
      </c>
      <c r="N120" s="41">
        <v>2.9435389999999999</v>
      </c>
      <c r="O120" s="41">
        <f t="shared" si="29"/>
        <v>0.12205099999999991</v>
      </c>
      <c r="P120" s="41">
        <f t="shared" si="30"/>
        <v>0.12205099999999991</v>
      </c>
    </row>
    <row r="121">
      <c r="A121">
        <v>1109</v>
      </c>
      <c r="B121">
        <v>2201918.173</v>
      </c>
      <c r="C121">
        <v>6718330.7240000004</v>
      </c>
      <c r="D121">
        <v>106.05</v>
      </c>
      <c r="E121">
        <v>539</v>
      </c>
      <c r="F121" s="41">
        <v>152.67781817948475</v>
      </c>
      <c r="G121" s="41">
        <v>1.4399999999999999</v>
      </c>
      <c r="H121" s="41">
        <v>1.3792230000000001</v>
      </c>
      <c r="I121" s="41">
        <f t="shared" si="26"/>
        <v>-0.060776999999999859</v>
      </c>
      <c r="J121" s="41">
        <f t="shared" si="28"/>
        <v>0.060776999999999859</v>
      </c>
      <c r="L121" s="41">
        <v>152.67781817948475</v>
      </c>
      <c r="M121" s="44">
        <v>2.3999999999999999</v>
      </c>
      <c r="N121" s="41">
        <v>3.1915429999999998</v>
      </c>
      <c r="O121" s="41">
        <f t="shared" si="29"/>
        <v>0.79154299999999989</v>
      </c>
      <c r="P121" s="41">
        <f t="shared" si="30"/>
        <v>0.79154299999999989</v>
      </c>
    </row>
    <row r="122">
      <c r="A122">
        <v>1110</v>
      </c>
      <c r="B122">
        <v>2201928.0129999998</v>
      </c>
      <c r="C122">
        <v>6718323.324</v>
      </c>
      <c r="D122">
        <v>106.217</v>
      </c>
      <c r="E122">
        <v>539</v>
      </c>
      <c r="F122" s="41">
        <v>164.98982857594643</v>
      </c>
      <c r="G122" s="41">
        <v>1.28</v>
      </c>
      <c r="H122" s="41">
        <v>1.362142</v>
      </c>
      <c r="I122" s="41">
        <f t="shared" si="26"/>
        <v>0.082141999999999937</v>
      </c>
      <c r="J122" s="41">
        <f t="shared" si="28"/>
        <v>0.082141999999999937</v>
      </c>
      <c r="L122" s="41">
        <v>164.98982857594643</v>
      </c>
      <c r="M122" s="44">
        <v>2.1653280000000001</v>
      </c>
      <c r="N122" s="41">
        <v>3.3493889999999999</v>
      </c>
      <c r="O122" s="41">
        <f t="shared" si="29"/>
        <v>1.1840609999999998</v>
      </c>
      <c r="P122" s="41">
        <f t="shared" si="30"/>
        <v>1.1840609999999998</v>
      </c>
    </row>
    <row r="123">
      <c r="A123">
        <v>1111</v>
      </c>
      <c r="B123">
        <v>2201937.1209999998</v>
      </c>
      <c r="C123">
        <v>6718315.9170000004</v>
      </c>
      <c r="D123">
        <v>106.80500000000001</v>
      </c>
      <c r="E123">
        <v>539</v>
      </c>
      <c r="F123" s="41">
        <v>176.72947563175941</v>
      </c>
      <c r="G123" s="41">
        <v>1.1100000000000001</v>
      </c>
      <c r="H123" s="41">
        <v>1.285577</v>
      </c>
      <c r="I123" s="41">
        <f t="shared" si="26"/>
        <v>0.17557699999999987</v>
      </c>
      <c r="J123" s="41">
        <f t="shared" si="28"/>
        <v>0.17557699999999987</v>
      </c>
      <c r="L123" s="41">
        <v>176.72947563175941</v>
      </c>
      <c r="M123" s="44">
        <v>1.6000000000000001</v>
      </c>
      <c r="N123" s="41">
        <v>2.8793739999999999</v>
      </c>
      <c r="O123" s="41">
        <f t="shared" si="29"/>
        <v>1.2793739999999998</v>
      </c>
      <c r="P123" s="41">
        <f t="shared" si="30"/>
        <v>1.2793739999999998</v>
      </c>
    </row>
    <row r="124">
      <c r="A124">
        <v>1112</v>
      </c>
      <c r="B124">
        <v>2201947.9249999998</v>
      </c>
      <c r="C124">
        <v>6718307.5319999997</v>
      </c>
      <c r="D124">
        <v>107.46299999999999</v>
      </c>
      <c r="E124">
        <v>539</v>
      </c>
      <c r="F124" s="41">
        <v>190.40553650512314</v>
      </c>
      <c r="G124" s="41">
        <v>0.84999999999999998</v>
      </c>
      <c r="H124" s="41">
        <v>0.84551399999999999</v>
      </c>
      <c r="I124" s="41">
        <f t="shared" si="26"/>
        <v>-0.00448599999999999</v>
      </c>
      <c r="J124" s="41">
        <f t="shared" si="28"/>
        <v>0.00448599999999999</v>
      </c>
      <c r="L124" s="41">
        <v>190.40553650512314</v>
      </c>
      <c r="M124" s="44">
        <v>0.95143199999999994</v>
      </c>
      <c r="N124" s="41">
        <v>1.073207</v>
      </c>
      <c r="O124" s="41">
        <f t="shared" si="29"/>
        <v>0.12177500000000008</v>
      </c>
      <c r="P124" s="41">
        <f t="shared" si="30"/>
        <v>0.12177500000000008</v>
      </c>
    </row>
    <row r="125">
      <c r="A125" s="1" t="s">
        <v>91</v>
      </c>
      <c r="M125" s="44"/>
    </row>
    <row r="126">
      <c r="A126">
        <v>1113</v>
      </c>
      <c r="B126">
        <v>2201620.6140000001</v>
      </c>
      <c r="C126">
        <v>6717971.4479999999</v>
      </c>
      <c r="D126">
        <v>106.84699999999999</v>
      </c>
      <c r="E126">
        <v>539</v>
      </c>
      <c r="F126" s="41">
        <v>8.2131458645493094</v>
      </c>
      <c r="G126" s="41">
        <v>0.89000000000000001</v>
      </c>
      <c r="H126" s="41">
        <v>2.0901049999999999</v>
      </c>
      <c r="I126" s="41">
        <f t="shared" si="26"/>
        <v>1.2001049999999998</v>
      </c>
      <c r="J126" s="41">
        <f t="shared" ref="J126:J136" si="31">ABS(I126)</f>
        <v>1.2001049999999998</v>
      </c>
      <c r="L126" s="41">
        <v>8.2131458645493094</v>
      </c>
      <c r="M126" s="44">
        <v>0.36088800000000004</v>
      </c>
      <c r="N126" s="41">
        <v>0.80178400000000005</v>
      </c>
      <c r="O126" s="41">
        <f t="shared" ref="O126:O136" si="32">N126-M126</f>
        <v>0.44089600000000001</v>
      </c>
      <c r="P126" s="41">
        <f t="shared" ref="P126:P136" si="33">ABS(O126)</f>
        <v>0.44089600000000001</v>
      </c>
    </row>
    <row r="127">
      <c r="A127">
        <v>1114</v>
      </c>
      <c r="B127">
        <v>2201614.2919999999</v>
      </c>
      <c r="C127">
        <v>6717980.2240000004</v>
      </c>
      <c r="D127">
        <v>106.283</v>
      </c>
      <c r="E127">
        <v>539</v>
      </c>
      <c r="F127" s="41">
        <v>19.029146049989443</v>
      </c>
      <c r="G127" s="41">
        <v>1.6599999999999999</v>
      </c>
      <c r="H127" s="41">
        <v>2.3459379999999999</v>
      </c>
      <c r="I127" s="41">
        <f t="shared" si="26"/>
        <v>0.68593799999999994</v>
      </c>
      <c r="J127" s="41">
        <f t="shared" si="31"/>
        <v>0.68593799999999994</v>
      </c>
      <c r="L127" s="41">
        <v>19.029146049989443</v>
      </c>
      <c r="M127" s="44">
        <v>0.80000000000000004</v>
      </c>
      <c r="N127" s="41">
        <v>0.79257699999999998</v>
      </c>
      <c r="O127" s="41">
        <f t="shared" si="32"/>
        <v>-0.0074230000000000684</v>
      </c>
      <c r="P127" s="41">
        <f t="shared" si="33"/>
        <v>0.0074230000000000684</v>
      </c>
    </row>
    <row r="128">
      <c r="A128">
        <v>1115</v>
      </c>
      <c r="B128">
        <v>2201608.0589999999</v>
      </c>
      <c r="C128">
        <v>6717990.0070000002</v>
      </c>
      <c r="D128">
        <v>106.066</v>
      </c>
      <c r="E128">
        <v>539</v>
      </c>
      <c r="F128" s="41">
        <v>30.6290330320507</v>
      </c>
      <c r="G128" s="41">
        <v>2.46</v>
      </c>
      <c r="H128" s="41">
        <v>2.6046710000000002</v>
      </c>
      <c r="I128" s="41">
        <f t="shared" si="26"/>
        <v>0.14467100000000022</v>
      </c>
      <c r="J128" s="41">
        <f t="shared" si="31"/>
        <v>0.14467100000000022</v>
      </c>
      <c r="L128" s="41">
        <v>30.6290330320507</v>
      </c>
      <c r="M128" s="44">
        <v>1.410744</v>
      </c>
      <c r="N128" s="41">
        <v>0.96338800000000002</v>
      </c>
      <c r="O128" s="41">
        <f t="shared" si="32"/>
        <v>-0.44735599999999998</v>
      </c>
      <c r="P128" s="41">
        <f t="shared" si="33"/>
        <v>0.44735599999999998</v>
      </c>
    </row>
    <row r="129">
      <c r="A129">
        <v>1116</v>
      </c>
      <c r="B129">
        <v>2201599.9589999998</v>
      </c>
      <c r="C129">
        <v>6717998.182</v>
      </c>
      <c r="D129">
        <v>105.842</v>
      </c>
      <c r="E129">
        <v>539</v>
      </c>
      <c r="F129" s="41">
        <v>42.137318091018578</v>
      </c>
      <c r="G129" s="41">
        <v>2.6299999999999999</v>
      </c>
      <c r="H129" s="41">
        <v>3.3948420000000001</v>
      </c>
      <c r="I129" s="41">
        <f t="shared" si="26"/>
        <v>0.76484200000000024</v>
      </c>
      <c r="J129" s="41">
        <f t="shared" si="31"/>
        <v>0.76484200000000024</v>
      </c>
      <c r="L129" s="41">
        <v>42.137318091018578</v>
      </c>
      <c r="M129" s="44">
        <v>2.1000000000000001</v>
      </c>
      <c r="N129" s="41">
        <v>1.832973</v>
      </c>
      <c r="O129" s="41">
        <f t="shared" si="32"/>
        <v>-0.26702700000000013</v>
      </c>
      <c r="P129" s="41">
        <f t="shared" si="33"/>
        <v>0.26702700000000013</v>
      </c>
    </row>
    <row r="130">
      <c r="A130">
        <v>1117</v>
      </c>
      <c r="B130">
        <v>2201594.3769999999</v>
      </c>
      <c r="C130">
        <v>6718004.6979999999</v>
      </c>
      <c r="D130">
        <v>105.73099999999999</v>
      </c>
      <c r="E130">
        <v>539</v>
      </c>
      <c r="F130" s="41">
        <v>50.717351890314461</v>
      </c>
      <c r="G130" s="41">
        <v>4.5599999999999996</v>
      </c>
      <c r="H130" s="41">
        <v>3.7124030000000001</v>
      </c>
      <c r="I130" s="41">
        <f t="shared" si="26"/>
        <v>-0.84759699999999949</v>
      </c>
      <c r="J130" s="41">
        <f t="shared" si="31"/>
        <v>0.84759699999999949</v>
      </c>
      <c r="L130" s="41">
        <v>50.717351890314461</v>
      </c>
      <c r="M130" s="44">
        <v>1.5091680000000001</v>
      </c>
      <c r="N130" s="41">
        <v>1.848535</v>
      </c>
      <c r="O130" s="41">
        <f t="shared" si="32"/>
        <v>0.33936699999999997</v>
      </c>
      <c r="P130" s="41">
        <f t="shared" si="33"/>
        <v>0.33936699999999997</v>
      </c>
    </row>
    <row r="131">
      <c r="A131">
        <v>1118</v>
      </c>
      <c r="B131">
        <v>2201587.2710000002</v>
      </c>
      <c r="C131">
        <v>6718011.3789999997</v>
      </c>
      <c r="D131">
        <v>105.752</v>
      </c>
      <c r="E131">
        <v>539</v>
      </c>
      <c r="F131" s="41">
        <v>60.47086392412335</v>
      </c>
      <c r="G131" s="41">
        <v>4.6600000000000001</v>
      </c>
      <c r="H131" s="41">
        <v>3.9298769999999998</v>
      </c>
      <c r="I131" s="41">
        <f t="shared" si="26"/>
        <v>-0.7301230000000003</v>
      </c>
      <c r="J131" s="41">
        <f t="shared" si="31"/>
        <v>0.7301230000000003</v>
      </c>
      <c r="L131" s="41">
        <v>60.47086392412335</v>
      </c>
      <c r="M131" s="44">
        <v>1.7716320000000001</v>
      </c>
      <c r="N131" s="41">
        <v>1.8893120000000001</v>
      </c>
      <c r="O131" s="41">
        <f t="shared" si="32"/>
        <v>0.11768000000000001</v>
      </c>
      <c r="P131" s="41">
        <f t="shared" si="33"/>
        <v>0.11768000000000001</v>
      </c>
    </row>
    <row r="132">
      <c r="A132">
        <v>1119</v>
      </c>
      <c r="B132">
        <v>2201581.3429999999</v>
      </c>
      <c r="C132">
        <v>6718018.7149999999</v>
      </c>
      <c r="D132">
        <v>105.65600000000001</v>
      </c>
      <c r="E132">
        <v>539</v>
      </c>
      <c r="F132" s="41">
        <v>69.902623039234385</v>
      </c>
      <c r="G132" s="41">
        <v>5.29</v>
      </c>
      <c r="H132" s="41">
        <v>4.1171360000000004</v>
      </c>
      <c r="I132" s="41">
        <f t="shared" si="26"/>
        <v>-1.1728639999999997</v>
      </c>
      <c r="J132" s="41">
        <f t="shared" si="31"/>
        <v>1.1728639999999997</v>
      </c>
      <c r="L132" s="41">
        <v>69.902623039234385</v>
      </c>
      <c r="M132" s="44">
        <v>2.7999999999999998</v>
      </c>
      <c r="N132" s="41">
        <v>2.0228890000000002</v>
      </c>
      <c r="O132" s="41">
        <f t="shared" si="32"/>
        <v>-0.77711099999999966</v>
      </c>
      <c r="P132" s="41">
        <f t="shared" si="33"/>
        <v>0.77711099999999966</v>
      </c>
    </row>
    <row r="133">
      <c r="A133">
        <v>1120</v>
      </c>
      <c r="B133">
        <v>2201571.9399999999</v>
      </c>
      <c r="C133">
        <v>6718026.2350000003</v>
      </c>
      <c r="D133">
        <v>105.815</v>
      </c>
      <c r="E133">
        <v>539</v>
      </c>
      <c r="F133" s="41">
        <v>81.942839358139238</v>
      </c>
      <c r="G133" s="41">
        <v>4.46</v>
      </c>
      <c r="H133" s="41">
        <v>4.2240929999999999</v>
      </c>
      <c r="I133" s="41">
        <f t="shared" si="26"/>
        <v>-0.23590700000000009</v>
      </c>
      <c r="J133" s="41">
        <f t="shared" si="31"/>
        <v>0.23590700000000009</v>
      </c>
      <c r="L133" s="41">
        <v>81.942839358139238</v>
      </c>
      <c r="M133" s="44">
        <v>1.541976</v>
      </c>
      <c r="N133" s="41">
        <v>2.0750259999999998</v>
      </c>
      <c r="O133" s="41">
        <f t="shared" si="32"/>
        <v>0.5330499999999998</v>
      </c>
      <c r="P133" s="41">
        <f t="shared" si="33"/>
        <v>0.5330499999999998</v>
      </c>
    </row>
    <row r="134">
      <c r="A134">
        <v>1121</v>
      </c>
      <c r="B134">
        <v>2201563.9989999998</v>
      </c>
      <c r="C134">
        <v>6718033.9900000002</v>
      </c>
      <c r="D134">
        <v>106.003</v>
      </c>
      <c r="E134">
        <v>539</v>
      </c>
      <c r="F134" s="41">
        <v>93.042366645370095</v>
      </c>
      <c r="G134" s="41">
        <v>3.7200000000000002</v>
      </c>
      <c r="H134" s="41">
        <v>3.5559059999999998</v>
      </c>
      <c r="I134" s="41">
        <f t="shared" si="26"/>
        <v>-0.16409400000000041</v>
      </c>
      <c r="J134" s="41">
        <f t="shared" si="31"/>
        <v>0.16409400000000041</v>
      </c>
      <c r="L134" s="41">
        <v>93.042366645370095</v>
      </c>
      <c r="M134" s="44">
        <v>1.5</v>
      </c>
      <c r="N134" s="41">
        <v>1.5947450000000001</v>
      </c>
      <c r="O134" s="41">
        <f t="shared" si="32"/>
        <v>0.094745000000000079</v>
      </c>
      <c r="P134" s="41">
        <f t="shared" si="33"/>
        <v>0.094745000000000079</v>
      </c>
    </row>
    <row r="135">
      <c r="A135">
        <v>1122</v>
      </c>
      <c r="B135">
        <v>2201556.1099999999</v>
      </c>
      <c r="C135">
        <v>6718041.7079999996</v>
      </c>
      <c r="D135">
        <v>106.191</v>
      </c>
      <c r="E135">
        <v>539</v>
      </c>
      <c r="F135" s="41">
        <v>104.07884457043231</v>
      </c>
      <c r="G135" s="41">
        <v>3.3900000000000001</v>
      </c>
      <c r="H135" s="41">
        <v>2.1899540000000002</v>
      </c>
      <c r="I135" s="41">
        <f t="shared" si="26"/>
        <v>-1.2000459999999999</v>
      </c>
      <c r="J135" s="41">
        <f t="shared" si="31"/>
        <v>1.2000459999999999</v>
      </c>
      <c r="L135" s="41">
        <v>104.07884457043231</v>
      </c>
      <c r="M135" s="44">
        <v>1</v>
      </c>
      <c r="N135" s="41">
        <v>0.74947200000000003</v>
      </c>
      <c r="O135" s="41">
        <f t="shared" si="32"/>
        <v>-0.25052799999999997</v>
      </c>
      <c r="P135" s="41">
        <f t="shared" si="33"/>
        <v>0.25052799999999997</v>
      </c>
    </row>
    <row r="136">
      <c r="A136">
        <v>1123</v>
      </c>
      <c r="B136">
        <v>2201548.4980000001</v>
      </c>
      <c r="C136">
        <v>6718049.7130000005</v>
      </c>
      <c r="D136">
        <v>106.93899999999999</v>
      </c>
      <c r="E136">
        <v>539</v>
      </c>
      <c r="F136" s="41">
        <v>115.12522719140999</v>
      </c>
      <c r="G136" s="41">
        <v>0.97999999999999998</v>
      </c>
      <c r="H136" s="41">
        <v>0.67654899999999996</v>
      </c>
      <c r="I136" s="41">
        <f t="shared" si="26"/>
        <v>-0.30345100000000003</v>
      </c>
      <c r="J136" s="41">
        <f t="shared" si="31"/>
        <v>0.30345100000000003</v>
      </c>
      <c r="L136" s="41">
        <v>115.12522719140999</v>
      </c>
      <c r="M136" s="44">
        <v>0.52492800000000006</v>
      </c>
      <c r="N136" s="41">
        <v>0.063294000000000003</v>
      </c>
      <c r="O136" s="41">
        <f t="shared" si="32"/>
        <v>-0.46163400000000004</v>
      </c>
      <c r="P136" s="41">
        <f t="shared" si="33"/>
        <v>0.46163400000000004</v>
      </c>
    </row>
    <row r="137">
      <c r="A137" s="1" t="s">
        <v>92</v>
      </c>
      <c r="M137" s="44"/>
    </row>
    <row r="138">
      <c r="A138">
        <v>1124</v>
      </c>
      <c r="B138">
        <v>2201326.3119999999</v>
      </c>
      <c r="C138">
        <v>6717837.3380000005</v>
      </c>
      <c r="D138">
        <v>104.267</v>
      </c>
      <c r="E138">
        <v>539</v>
      </c>
      <c r="F138" s="41">
        <v>4.9499613126293491</v>
      </c>
      <c r="G138" s="41">
        <v>0.71999999999999997</v>
      </c>
      <c r="H138" s="41">
        <v>0.24719099999999999</v>
      </c>
      <c r="I138" s="41">
        <f t="shared" si="26"/>
        <v>-0.47280899999999998</v>
      </c>
      <c r="J138" s="41">
        <f t="shared" ref="J138:J148" si="34">ABS(I138)</f>
        <v>0.47280899999999998</v>
      </c>
      <c r="L138" s="41">
        <v>4.9499613126293491</v>
      </c>
      <c r="M138" s="44">
        <v>1.2138960000000001</v>
      </c>
      <c r="N138" s="41">
        <v>0</v>
      </c>
      <c r="O138" s="41">
        <f t="shared" ref="O138:O148" si="35">N138-M138</f>
        <v>-1.2138960000000001</v>
      </c>
      <c r="P138" s="41">
        <f t="shared" ref="P138:P148" si="36">ABS(O138)</f>
        <v>1.2138960000000001</v>
      </c>
    </row>
    <row r="139">
      <c r="A139">
        <v>1125</v>
      </c>
      <c r="B139">
        <v>2201332.057</v>
      </c>
      <c r="C139">
        <v>6717828.5439999998</v>
      </c>
      <c r="D139">
        <v>104.026</v>
      </c>
      <c r="E139">
        <v>539</v>
      </c>
      <c r="F139" s="41">
        <v>15.454220497049302</v>
      </c>
      <c r="G139" s="41">
        <v>2.3100000000000001</v>
      </c>
      <c r="H139" s="41">
        <v>0.27320899999999998</v>
      </c>
      <c r="I139" s="41">
        <f t="shared" si="26"/>
        <v>-2.036791</v>
      </c>
      <c r="J139" s="41">
        <f t="shared" si="34"/>
        <v>2.036791</v>
      </c>
      <c r="L139" s="41">
        <v>15.454220497049302</v>
      </c>
      <c r="M139" s="44">
        <v>1.5</v>
      </c>
      <c r="N139" s="41">
        <v>0.208486</v>
      </c>
      <c r="O139" s="41">
        <f t="shared" si="35"/>
        <v>-1.2915140000000001</v>
      </c>
      <c r="P139" s="41">
        <f t="shared" si="36"/>
        <v>1.2915140000000001</v>
      </c>
    </row>
    <row r="140">
      <c r="A140">
        <v>1126</v>
      </c>
      <c r="B140">
        <v>2201340.196</v>
      </c>
      <c r="C140">
        <v>6717821.8810000001</v>
      </c>
      <c r="D140">
        <v>103.434</v>
      </c>
      <c r="E140">
        <v>539</v>
      </c>
      <c r="F140" s="41">
        <v>25.972722766649383</v>
      </c>
      <c r="G140" s="41">
        <v>2.6600000000000001</v>
      </c>
      <c r="H140" s="41">
        <v>1.85887</v>
      </c>
      <c r="I140" s="41">
        <f t="shared" si="26"/>
        <v>-0.80113000000000012</v>
      </c>
      <c r="J140" s="41">
        <f t="shared" si="34"/>
        <v>0.80113000000000012</v>
      </c>
      <c r="L140" s="41">
        <v>25.972722766649383</v>
      </c>
      <c r="M140" s="44">
        <v>2.1981360000000003</v>
      </c>
      <c r="N140" s="41">
        <v>1.8079639999999999</v>
      </c>
      <c r="O140" s="41">
        <f t="shared" si="35"/>
        <v>-0.39017200000000041</v>
      </c>
      <c r="P140" s="41">
        <f t="shared" si="36"/>
        <v>0.39017200000000041</v>
      </c>
    </row>
    <row r="141">
      <c r="A141">
        <v>1127</v>
      </c>
      <c r="B141">
        <v>2201347.2749999999</v>
      </c>
      <c r="C141">
        <v>6717814.3380000005</v>
      </c>
      <c r="D141">
        <v>103.26600000000001</v>
      </c>
      <c r="E141">
        <v>539</v>
      </c>
      <c r="F141" s="41">
        <v>36.317242571486368</v>
      </c>
      <c r="G141" s="41">
        <v>3.0099999999999998</v>
      </c>
      <c r="H141" s="41">
        <v>3.3464149999999999</v>
      </c>
      <c r="I141" s="41">
        <f t="shared" si="26"/>
        <v>0.33641500000000013</v>
      </c>
      <c r="J141" s="41">
        <f t="shared" si="34"/>
        <v>0.33641500000000013</v>
      </c>
      <c r="L141" s="41">
        <v>36.317242571486368</v>
      </c>
      <c r="M141" s="44">
        <v>2.3999999999999999</v>
      </c>
      <c r="N141" s="41">
        <v>2.586856</v>
      </c>
      <c r="O141" s="41">
        <f t="shared" si="35"/>
        <v>0.18685600000000013</v>
      </c>
      <c r="P141" s="41">
        <f t="shared" si="36"/>
        <v>0.18685600000000013</v>
      </c>
    </row>
    <row r="142">
      <c r="A142">
        <v>1128</v>
      </c>
      <c r="B142">
        <v>2201353.6699999999</v>
      </c>
      <c r="C142">
        <v>6717807.2249999996</v>
      </c>
      <c r="D142">
        <v>103.004</v>
      </c>
      <c r="E142">
        <v>539</v>
      </c>
      <c r="F142" s="41">
        <v>45.882324589535315</v>
      </c>
      <c r="G142" s="41">
        <v>2.6899999999999999</v>
      </c>
      <c r="H142" s="41">
        <v>3.6771189999999998</v>
      </c>
      <c r="I142" s="41">
        <f t="shared" si="26"/>
        <v>0.98711899999999986</v>
      </c>
      <c r="J142" s="41">
        <f t="shared" si="34"/>
        <v>0.98711899999999986</v>
      </c>
      <c r="L142" s="41">
        <v>45.882324589535315</v>
      </c>
      <c r="M142" s="44">
        <v>2.6574480000000005</v>
      </c>
      <c r="N142" s="41">
        <v>2.9070849999999999</v>
      </c>
      <c r="O142" s="41">
        <f t="shared" si="35"/>
        <v>0.24963699999999944</v>
      </c>
      <c r="P142" s="41">
        <f t="shared" si="36"/>
        <v>0.24963699999999944</v>
      </c>
    </row>
    <row r="143">
      <c r="A143">
        <v>1129</v>
      </c>
      <c r="B143">
        <v>2201359.696</v>
      </c>
      <c r="C143">
        <v>6717799.4210000001</v>
      </c>
      <c r="D143">
        <v>103.09999999999999</v>
      </c>
      <c r="E143">
        <v>539</v>
      </c>
      <c r="F143" s="41">
        <v>55.742095986157203</v>
      </c>
      <c r="G143" s="41">
        <v>3.29</v>
      </c>
      <c r="H143" s="41">
        <v>3.6685400000000001</v>
      </c>
      <c r="I143" s="41">
        <f t="shared" si="26"/>
        <v>0.3785400000000001</v>
      </c>
      <c r="J143" s="41">
        <f t="shared" si="34"/>
        <v>0.3785400000000001</v>
      </c>
      <c r="L143" s="41">
        <v>55.742095986157203</v>
      </c>
      <c r="M143" s="44">
        <v>2.3999999999999999</v>
      </c>
      <c r="N143" s="41">
        <v>2.647421</v>
      </c>
      <c r="O143" s="41">
        <f t="shared" si="35"/>
        <v>0.24742100000000011</v>
      </c>
      <c r="P143" s="41">
        <f t="shared" si="36"/>
        <v>0.24742100000000011</v>
      </c>
    </row>
    <row r="144">
      <c r="A144">
        <v>1130</v>
      </c>
      <c r="B144">
        <v>2201367.5639999998</v>
      </c>
      <c r="C144">
        <v>6717792.9220000003</v>
      </c>
      <c r="D144">
        <v>103.48399999999999</v>
      </c>
      <c r="E144">
        <v>539</v>
      </c>
      <c r="F144" s="41">
        <v>65.947115584103571</v>
      </c>
      <c r="G144" s="41">
        <v>3.5800000000000001</v>
      </c>
      <c r="H144" s="41">
        <v>3.6834859999999998</v>
      </c>
      <c r="I144" s="41">
        <f t="shared" si="26"/>
        <v>0.10348599999999974</v>
      </c>
      <c r="J144" s="41">
        <f t="shared" si="34"/>
        <v>0.10348599999999974</v>
      </c>
      <c r="L144" s="41">
        <v>65.947115584103571</v>
      </c>
      <c r="M144" s="44">
        <v>2.1653280000000001</v>
      </c>
      <c r="N144" s="41">
        <v>2.6383320000000001</v>
      </c>
      <c r="O144" s="41">
        <f t="shared" si="35"/>
        <v>0.47300399999999998</v>
      </c>
      <c r="P144" s="41">
        <f t="shared" si="36"/>
        <v>0.47300399999999998</v>
      </c>
    </row>
    <row r="145">
      <c r="A145">
        <v>1131</v>
      </c>
      <c r="B145">
        <v>2201374.6830000002</v>
      </c>
      <c r="C145">
        <v>6717785.5049999999</v>
      </c>
      <c r="D145">
        <v>103.57599999999999</v>
      </c>
      <c r="E145">
        <v>539</v>
      </c>
      <c r="F145" s="41">
        <v>76.227779473721938</v>
      </c>
      <c r="G145" s="41">
        <v>2.6899999999999999</v>
      </c>
      <c r="H145" s="41">
        <v>3.1786699999999999</v>
      </c>
      <c r="I145" s="41">
        <f t="shared" si="26"/>
        <v>0.48866999999999994</v>
      </c>
      <c r="J145" s="41">
        <f t="shared" si="34"/>
        <v>0.48866999999999994</v>
      </c>
      <c r="L145" s="41">
        <v>76.227779473721938</v>
      </c>
      <c r="M145" s="44">
        <v>2</v>
      </c>
      <c r="N145" s="41">
        <v>2.2115300000000002</v>
      </c>
      <c r="O145" s="41">
        <f t="shared" si="35"/>
        <v>0.21153000000000022</v>
      </c>
      <c r="P145" s="41">
        <f t="shared" si="36"/>
        <v>0.21153000000000022</v>
      </c>
    </row>
    <row r="146">
      <c r="A146">
        <v>1132</v>
      </c>
      <c r="B146">
        <v>2201382.5240000002</v>
      </c>
      <c r="C146">
        <v>6717777.1509999996</v>
      </c>
      <c r="D146">
        <v>104.00700000000001</v>
      </c>
      <c r="E146">
        <v>539</v>
      </c>
      <c r="F146" s="41">
        <v>87.685117602840933</v>
      </c>
      <c r="G146" s="41">
        <v>2.5899999999999999</v>
      </c>
      <c r="H146" s="41">
        <v>2.18059</v>
      </c>
      <c r="I146" s="41">
        <f t="shared" si="26"/>
        <v>-0.40940999999999983</v>
      </c>
      <c r="J146" s="41">
        <f t="shared" si="34"/>
        <v>0.40940999999999983</v>
      </c>
      <c r="L146" s="41">
        <v>87.685117602840933</v>
      </c>
      <c r="M146" s="44">
        <v>1.673208</v>
      </c>
      <c r="N146" s="41">
        <v>1.7211019999999999</v>
      </c>
      <c r="O146" s="41">
        <f t="shared" si="35"/>
        <v>0.047893999999999881</v>
      </c>
      <c r="P146" s="41">
        <f t="shared" si="36"/>
        <v>0.047893999999999881</v>
      </c>
    </row>
    <row r="147">
      <c r="A147">
        <v>1133</v>
      </c>
      <c r="B147">
        <v>2201391.5950000002</v>
      </c>
      <c r="C147">
        <v>6717769.1500000004</v>
      </c>
      <c r="D147">
        <v>103.755</v>
      </c>
      <c r="E147">
        <v>539</v>
      </c>
      <c r="F147" s="41">
        <v>99.780531691976222</v>
      </c>
      <c r="G147" s="41">
        <v>0.89000000000000001</v>
      </c>
      <c r="H147" s="41">
        <v>0.64166599999999996</v>
      </c>
      <c r="I147" s="41">
        <f t="shared" si="26"/>
        <v>-0.24833400000000005</v>
      </c>
      <c r="J147" s="41">
        <f t="shared" si="34"/>
        <v>0.24833400000000005</v>
      </c>
      <c r="L147" s="41">
        <v>99.780531691976222</v>
      </c>
      <c r="M147" s="44">
        <v>1.7</v>
      </c>
      <c r="N147" s="41">
        <v>0.59325099999999997</v>
      </c>
      <c r="O147" s="41">
        <f t="shared" si="35"/>
        <v>-1.106749</v>
      </c>
      <c r="P147" s="41">
        <f t="shared" si="36"/>
        <v>1.106749</v>
      </c>
    </row>
    <row r="148">
      <c r="A148">
        <v>1134</v>
      </c>
      <c r="B148">
        <v>2201401.0780000002</v>
      </c>
      <c r="C148">
        <v>6717761.1909999996</v>
      </c>
      <c r="D148">
        <v>104.55200000000001</v>
      </c>
      <c r="E148">
        <v>539</v>
      </c>
      <c r="F148" s="41">
        <v>112.16087781039165</v>
      </c>
      <c r="G148" s="41">
        <v>0.33000000000000002</v>
      </c>
      <c r="H148" s="41">
        <v>0.36463299999999998</v>
      </c>
      <c r="I148" s="41">
        <f t="shared" si="26"/>
        <v>0.034632999999999969</v>
      </c>
      <c r="J148" s="41">
        <f t="shared" si="34"/>
        <v>0.034632999999999969</v>
      </c>
      <c r="L148" s="41">
        <v>112.16087781039165</v>
      </c>
      <c r="M148" s="44">
        <v>0.98424</v>
      </c>
      <c r="N148" s="41">
        <v>0</v>
      </c>
      <c r="O148" s="41">
        <f t="shared" si="35"/>
        <v>-0.98424</v>
      </c>
      <c r="P148" s="41">
        <f t="shared" si="36"/>
        <v>0.98424</v>
      </c>
    </row>
    <row r="149">
      <c r="A149" s="1" t="s">
        <v>94</v>
      </c>
      <c r="M149" s="44"/>
    </row>
    <row r="150">
      <c r="A150">
        <v>1135</v>
      </c>
      <c r="B150">
        <v>2193402.2349999999</v>
      </c>
      <c r="C150">
        <v>6702066.0159999998</v>
      </c>
      <c r="D150">
        <v>72.742000000000004</v>
      </c>
      <c r="E150">
        <v>539</v>
      </c>
      <c r="F150" s="41">
        <v>210.16863988241317</v>
      </c>
      <c r="G150" s="41">
        <v>1.1499999999999999</v>
      </c>
      <c r="H150" s="41">
        <v>0.81947700000000001</v>
      </c>
      <c r="I150" s="41">
        <f t="shared" si="26"/>
        <v>-0.3305229999999999</v>
      </c>
      <c r="J150" s="41">
        <f t="shared" ref="J150:J170" si="37">ABS(I150)</f>
        <v>0.3305229999999999</v>
      </c>
      <c r="L150" s="41">
        <v>210.16863988241317</v>
      </c>
      <c r="M150" s="44">
        <v>0.72177600000000008</v>
      </c>
      <c r="N150" s="41">
        <v>0.53338099999999999</v>
      </c>
      <c r="O150" s="41">
        <f t="shared" ref="O150:O170" si="38">N150-M150</f>
        <v>-0.18839500000000009</v>
      </c>
      <c r="P150" s="41">
        <f t="shared" ref="P150:P170" si="39">ABS(O150)</f>
        <v>0.18839500000000009</v>
      </c>
    </row>
    <row r="151">
      <c r="A151">
        <v>1136</v>
      </c>
      <c r="B151">
        <v>2193406.861</v>
      </c>
      <c r="C151">
        <v>6702059.0990000004</v>
      </c>
      <c r="D151">
        <v>72.736999999999995</v>
      </c>
      <c r="E151">
        <v>539</v>
      </c>
      <c r="F151" s="41">
        <v>201.84729594085644</v>
      </c>
      <c r="G151" s="41">
        <v>1.0600000000000001</v>
      </c>
      <c r="H151" s="41">
        <v>1.480802</v>
      </c>
      <c r="I151" s="41">
        <f t="shared" si="26"/>
        <v>0.4208019999999999</v>
      </c>
      <c r="J151" s="41">
        <f t="shared" si="37"/>
        <v>0.4208019999999999</v>
      </c>
      <c r="L151" s="41">
        <v>201.84729594085644</v>
      </c>
      <c r="M151" s="44">
        <v>0.90000000000000002</v>
      </c>
      <c r="N151" s="41">
        <v>0.91638399999999998</v>
      </c>
      <c r="O151" s="41">
        <f t="shared" si="38"/>
        <v>0.016383999999999954</v>
      </c>
      <c r="P151" s="41">
        <f t="shared" si="39"/>
        <v>0.016383999999999954</v>
      </c>
    </row>
    <row r="152">
      <c r="A152">
        <v>1137</v>
      </c>
      <c r="B152">
        <v>2193416.0490000001</v>
      </c>
      <c r="C152">
        <v>6702049.5219999999</v>
      </c>
      <c r="D152">
        <v>72.555999999999997</v>
      </c>
      <c r="E152">
        <v>539</v>
      </c>
      <c r="F152" s="41">
        <v>188.57558644240248</v>
      </c>
      <c r="G152" s="41">
        <v>1.54</v>
      </c>
      <c r="H152" s="41">
        <v>1.549715</v>
      </c>
      <c r="I152" s="41">
        <f t="shared" si="26"/>
        <v>0.0097149999999999181</v>
      </c>
      <c r="J152" s="41">
        <f t="shared" si="37"/>
        <v>0.0097149999999999181</v>
      </c>
      <c r="L152" s="41">
        <v>188.57558644240248</v>
      </c>
      <c r="M152" s="44">
        <v>1.0826640000000001</v>
      </c>
      <c r="N152" s="41">
        <v>1.128028</v>
      </c>
      <c r="O152" s="41">
        <f t="shared" si="38"/>
        <v>0.04536399999999996</v>
      </c>
      <c r="P152" s="41">
        <f t="shared" si="39"/>
        <v>0.04536399999999996</v>
      </c>
    </row>
    <row r="153">
      <c r="A153">
        <v>1138</v>
      </c>
      <c r="B153">
        <v>2193422.2519999999</v>
      </c>
      <c r="C153">
        <v>6702043.773</v>
      </c>
      <c r="D153">
        <v>72.593999999999994</v>
      </c>
      <c r="E153">
        <v>539</v>
      </c>
      <c r="F153" s="41">
        <v>180.11815125228884</v>
      </c>
      <c r="G153" s="41">
        <v>1.3799999999999999</v>
      </c>
      <c r="H153" s="41">
        <v>1.6317360000000001</v>
      </c>
      <c r="I153" s="41">
        <f t="shared" si="26"/>
        <v>0.25173600000000018</v>
      </c>
      <c r="J153" s="41">
        <f t="shared" si="37"/>
        <v>0.25173600000000018</v>
      </c>
      <c r="L153" s="41">
        <v>180.11815125228884</v>
      </c>
      <c r="M153" s="44">
        <v>1.1000000000000001</v>
      </c>
      <c r="N153" s="41">
        <v>1.3040039999999999</v>
      </c>
      <c r="O153" s="41">
        <f t="shared" si="38"/>
        <v>0.20400399999999985</v>
      </c>
      <c r="P153" s="41">
        <f t="shared" si="39"/>
        <v>0.20400399999999985</v>
      </c>
    </row>
    <row r="154">
      <c r="A154">
        <v>1139</v>
      </c>
      <c r="B154">
        <v>2193429.5189999999</v>
      </c>
      <c r="C154">
        <v>6702036.9680000003</v>
      </c>
      <c r="D154">
        <v>72.352000000000004</v>
      </c>
      <c r="E154">
        <v>539</v>
      </c>
      <c r="F154" s="41">
        <v>170.16238337653783</v>
      </c>
      <c r="G154" s="41">
        <v>1.3799999999999999</v>
      </c>
      <c r="H154" s="41">
        <v>1.7632140000000001</v>
      </c>
      <c r="I154" s="41">
        <f t="shared" si="26"/>
        <v>0.38321400000000017</v>
      </c>
      <c r="J154" s="41">
        <f t="shared" si="37"/>
        <v>0.38321400000000017</v>
      </c>
      <c r="L154" s="41">
        <v>170.16238337653783</v>
      </c>
      <c r="M154" s="44">
        <v>1.2795120000000002</v>
      </c>
      <c r="N154" s="41">
        <v>1.509776</v>
      </c>
      <c r="O154" s="41">
        <f t="shared" si="38"/>
        <v>0.2302639999999998</v>
      </c>
      <c r="P154" s="41">
        <f t="shared" si="39"/>
        <v>0.2302639999999998</v>
      </c>
    </row>
    <row r="155">
      <c r="A155">
        <v>1140</v>
      </c>
      <c r="B155">
        <v>2193436.7540000002</v>
      </c>
      <c r="C155">
        <v>6702029.1579999998</v>
      </c>
      <c r="D155">
        <v>72.058000000000007</v>
      </c>
      <c r="E155">
        <v>539</v>
      </c>
      <c r="F155" s="41">
        <v>159.51619509091194</v>
      </c>
      <c r="G155" s="41">
        <v>1.77</v>
      </c>
      <c r="H155" s="41">
        <v>1.903168</v>
      </c>
      <c r="I155" s="41">
        <f t="shared" si="26"/>
        <v>0.13316799999999995</v>
      </c>
      <c r="J155" s="41">
        <f t="shared" si="37"/>
        <v>0.13316799999999995</v>
      </c>
      <c r="L155" s="41">
        <v>159.51619509091194</v>
      </c>
      <c r="M155" s="44">
        <v>1.6404000000000001</v>
      </c>
      <c r="N155" s="41">
        <v>1.7285360000000001</v>
      </c>
      <c r="O155" s="41">
        <f t="shared" si="38"/>
        <v>0.088135999999999992</v>
      </c>
      <c r="P155" s="41">
        <f t="shared" si="39"/>
        <v>0.088135999999999992</v>
      </c>
    </row>
    <row r="156">
      <c r="A156">
        <v>1141</v>
      </c>
      <c r="B156">
        <v>2193444.0329999998</v>
      </c>
      <c r="C156">
        <v>6702022.6849999996</v>
      </c>
      <c r="D156">
        <v>72.069000000000003</v>
      </c>
      <c r="E156">
        <v>539</v>
      </c>
      <c r="F156" s="41">
        <v>149.77537531033798</v>
      </c>
      <c r="G156" s="41">
        <v>2.4700000000000002</v>
      </c>
      <c r="H156" s="41">
        <v>2.0203319999999998</v>
      </c>
      <c r="I156" s="41">
        <f t="shared" si="26"/>
        <v>-0.4496680000000004</v>
      </c>
      <c r="J156" s="41">
        <f t="shared" si="37"/>
        <v>0.4496680000000004</v>
      </c>
      <c r="L156" s="41">
        <v>149.77537531033798</v>
      </c>
      <c r="M156" s="44">
        <v>1.8</v>
      </c>
      <c r="N156" s="41">
        <v>1.930836</v>
      </c>
      <c r="O156" s="41">
        <f t="shared" si="38"/>
        <v>0.13083599999999995</v>
      </c>
      <c r="P156" s="41">
        <f t="shared" si="39"/>
        <v>0.13083599999999995</v>
      </c>
    </row>
    <row r="157">
      <c r="A157">
        <v>1142</v>
      </c>
      <c r="B157">
        <v>2193451.105</v>
      </c>
      <c r="C157">
        <v>6702014.9720000001</v>
      </c>
      <c r="D157">
        <v>71.994</v>
      </c>
      <c r="E157">
        <v>539</v>
      </c>
      <c r="F157" s="41">
        <v>139.31098077482326</v>
      </c>
      <c r="G157" s="41">
        <v>2.4900000000000002</v>
      </c>
      <c r="H157" s="41">
        <v>2.124657</v>
      </c>
      <c r="I157" s="41">
        <f t="shared" si="26"/>
        <v>-0.3653430000000002</v>
      </c>
      <c r="J157" s="41">
        <f t="shared" si="37"/>
        <v>0.3653430000000002</v>
      </c>
      <c r="L157" s="41">
        <v>139.31098077482326</v>
      </c>
      <c r="M157" s="44">
        <v>1.7060160000000002</v>
      </c>
      <c r="N157" s="41">
        <v>2.184402</v>
      </c>
      <c r="O157" s="41">
        <f t="shared" si="38"/>
        <v>0.47838599999999976</v>
      </c>
      <c r="P157" s="41">
        <f t="shared" si="39"/>
        <v>0.47838599999999976</v>
      </c>
    </row>
    <row r="158">
      <c r="A158">
        <v>1143</v>
      </c>
      <c r="B158">
        <v>2193458.5699999998</v>
      </c>
      <c r="C158">
        <v>6702007.8389999997</v>
      </c>
      <c r="D158">
        <v>72.034000000000006</v>
      </c>
      <c r="E158">
        <v>539</v>
      </c>
      <c r="F158" s="41">
        <v>128.9859667795206</v>
      </c>
      <c r="G158" s="41">
        <v>2.3100000000000001</v>
      </c>
      <c r="H158" s="41">
        <v>2.0877059999999998</v>
      </c>
      <c r="I158" s="41">
        <f t="shared" si="26"/>
        <v>-0.22229400000000021</v>
      </c>
      <c r="J158" s="41">
        <f t="shared" si="37"/>
        <v>0.22229400000000021</v>
      </c>
      <c r="L158" s="41">
        <v>128.9859667795206</v>
      </c>
      <c r="M158" s="44">
        <v>1.7</v>
      </c>
      <c r="N158" s="41">
        <v>2.0547430000000002</v>
      </c>
      <c r="O158" s="41">
        <f t="shared" si="38"/>
        <v>0.35474300000000025</v>
      </c>
      <c r="P158" s="41">
        <f t="shared" si="39"/>
        <v>0.35474300000000025</v>
      </c>
    </row>
    <row r="159">
      <c r="A159">
        <v>1144</v>
      </c>
      <c r="B159">
        <v>2193465.699</v>
      </c>
      <c r="C159">
        <v>6702002.3669999996</v>
      </c>
      <c r="D159">
        <v>72.244</v>
      </c>
      <c r="E159">
        <v>539</v>
      </c>
      <c r="F159" s="41">
        <v>119.99900817254778</v>
      </c>
      <c r="G159" s="41">
        <v>2.5299999999999998</v>
      </c>
      <c r="H159" s="41">
        <v>1.9311860000000001</v>
      </c>
      <c r="I159" s="41">
        <f t="shared" si="26"/>
        <v>-0.59881399999999974</v>
      </c>
      <c r="J159" s="41">
        <f t="shared" si="37"/>
        <v>0.59881399999999974</v>
      </c>
      <c r="L159" s="41">
        <v>119.99900817254778</v>
      </c>
      <c r="M159" s="44">
        <v>1.5091680000000001</v>
      </c>
      <c r="N159" s="41">
        <v>1.720305</v>
      </c>
      <c r="O159" s="41">
        <f t="shared" si="38"/>
        <v>0.21113699999999991</v>
      </c>
      <c r="P159" s="41">
        <f t="shared" si="39"/>
        <v>0.21113699999999991</v>
      </c>
    </row>
    <row r="160">
      <c r="A160">
        <v>1145</v>
      </c>
      <c r="B160">
        <v>2193474.1919999998</v>
      </c>
      <c r="C160">
        <v>6701994.9749999996</v>
      </c>
      <c r="D160">
        <v>72.376000000000005</v>
      </c>
      <c r="E160">
        <v>539</v>
      </c>
      <c r="F160" s="41">
        <v>108.73966924895996</v>
      </c>
      <c r="G160" s="41">
        <v>1.9299999999999999</v>
      </c>
      <c r="H160" s="41">
        <v>1.81101</v>
      </c>
      <c r="I160" s="41">
        <f t="shared" ref="I160:I191" si="40">H160-G160</f>
        <v>-0.11898999999999993</v>
      </c>
      <c r="J160" s="41">
        <f t="shared" si="37"/>
        <v>0.11898999999999993</v>
      </c>
      <c r="L160" s="41">
        <v>108.73966924895996</v>
      </c>
      <c r="M160" s="44">
        <v>1.3</v>
      </c>
      <c r="N160" s="41">
        <v>1.8256600000000001</v>
      </c>
      <c r="O160" s="41">
        <f t="shared" si="38"/>
        <v>0.52566000000000002</v>
      </c>
      <c r="P160" s="41">
        <f t="shared" si="39"/>
        <v>0.52566000000000002</v>
      </c>
    </row>
    <row r="161">
      <c r="A161">
        <v>1146</v>
      </c>
      <c r="B161">
        <v>2193480.8730000001</v>
      </c>
      <c r="C161">
        <v>6701989.1830000002</v>
      </c>
      <c r="D161">
        <v>72.421000000000006</v>
      </c>
      <c r="E161">
        <v>539</v>
      </c>
      <c r="F161" s="41">
        <v>99.89755270381815</v>
      </c>
      <c r="G161" s="41">
        <v>2.1000000000000001</v>
      </c>
      <c r="H161" s="41">
        <v>1.7330719999999999</v>
      </c>
      <c r="I161" s="41">
        <f t="shared" si="40"/>
        <v>-0.36692800000000014</v>
      </c>
      <c r="J161" s="41">
        <f t="shared" si="37"/>
        <v>0.36692800000000014</v>
      </c>
      <c r="L161" s="41">
        <v>99.89755270381815</v>
      </c>
      <c r="M161" s="44">
        <v>1.3123200000000002</v>
      </c>
      <c r="N161" s="41">
        <v>1.6722760000000001</v>
      </c>
      <c r="O161" s="41">
        <f t="shared" si="38"/>
        <v>0.35995599999999994</v>
      </c>
      <c r="P161" s="41">
        <f t="shared" si="39"/>
        <v>0.35995599999999994</v>
      </c>
    </row>
    <row r="162">
      <c r="A162">
        <v>1147</v>
      </c>
      <c r="B162">
        <v>2193489.2289999998</v>
      </c>
      <c r="C162">
        <v>6701982.5109999999</v>
      </c>
      <c r="D162">
        <v>72.515000000000001</v>
      </c>
      <c r="E162">
        <v>539</v>
      </c>
      <c r="F162" s="41">
        <v>89.204642903486615</v>
      </c>
      <c r="G162" s="41">
        <v>1.8700000000000001</v>
      </c>
      <c r="H162" s="41">
        <v>1.6887430000000001</v>
      </c>
      <c r="I162" s="41">
        <f t="shared" si="40"/>
        <v>-0.181257</v>
      </c>
      <c r="J162" s="41">
        <f t="shared" si="37"/>
        <v>0.181257</v>
      </c>
      <c r="L162" s="41">
        <v>89.204642903486615</v>
      </c>
      <c r="M162" s="44">
        <v>1.3999999999999999</v>
      </c>
      <c r="N162" s="41">
        <v>1.6462319999999999</v>
      </c>
      <c r="O162" s="41">
        <f t="shared" si="38"/>
        <v>0.24623200000000001</v>
      </c>
      <c r="P162" s="41">
        <f t="shared" si="39"/>
        <v>0.24623200000000001</v>
      </c>
    </row>
    <row r="163">
      <c r="A163">
        <v>1148</v>
      </c>
      <c r="B163">
        <v>2193495.8459999999</v>
      </c>
      <c r="C163">
        <v>6701976.9189999998</v>
      </c>
      <c r="D163">
        <v>72.408000000000001</v>
      </c>
      <c r="E163">
        <v>539</v>
      </c>
      <c r="F163" s="41">
        <v>80.541205190711509</v>
      </c>
      <c r="G163" s="41">
        <v>1.97</v>
      </c>
      <c r="H163" s="41">
        <v>1.6887669999999999</v>
      </c>
      <c r="I163" s="41">
        <f t="shared" si="40"/>
        <v>-0.28123300000000007</v>
      </c>
      <c r="J163" s="41">
        <f t="shared" si="37"/>
        <v>0.28123300000000007</v>
      </c>
      <c r="L163" s="41">
        <v>80.541205190711509</v>
      </c>
      <c r="M163" s="44">
        <v>1.410744</v>
      </c>
      <c r="N163" s="41">
        <v>1.9555199999999999</v>
      </c>
      <c r="O163" s="41">
        <f t="shared" si="38"/>
        <v>0.54477599999999993</v>
      </c>
      <c r="P163" s="41">
        <f t="shared" si="39"/>
        <v>0.54477599999999993</v>
      </c>
    </row>
    <row r="164">
      <c r="A164">
        <v>1149</v>
      </c>
      <c r="B164">
        <v>2193503.031</v>
      </c>
      <c r="C164">
        <v>6701969.7810000004</v>
      </c>
      <c r="D164">
        <v>72.352999999999994</v>
      </c>
      <c r="E164">
        <v>539</v>
      </c>
      <c r="F164" s="41">
        <v>70.413260236707444</v>
      </c>
      <c r="G164" s="41">
        <v>1.9299999999999999</v>
      </c>
      <c r="H164" s="41">
        <v>1.591674</v>
      </c>
      <c r="I164" s="41">
        <f t="shared" si="40"/>
        <v>-0.3383259999999999</v>
      </c>
      <c r="J164" s="41">
        <f t="shared" si="37"/>
        <v>0.3383259999999999</v>
      </c>
      <c r="L164" s="41">
        <v>70.413260236707444</v>
      </c>
      <c r="M164" s="44">
        <v>1.5</v>
      </c>
      <c r="N164" s="41">
        <v>1.7723580000000001</v>
      </c>
      <c r="O164" s="41">
        <f t="shared" si="38"/>
        <v>0.2723580000000001</v>
      </c>
      <c r="P164" s="41">
        <f t="shared" si="39"/>
        <v>0.2723580000000001</v>
      </c>
    </row>
    <row r="165">
      <c r="A165">
        <v>1150</v>
      </c>
      <c r="B165">
        <v>2193510.1510000001</v>
      </c>
      <c r="C165">
        <v>6701963.7180000003</v>
      </c>
      <c r="D165">
        <v>72.260999999999996</v>
      </c>
      <c r="E165">
        <v>539</v>
      </c>
      <c r="F165" s="41">
        <v>61.061556167256512</v>
      </c>
      <c r="G165" s="41">
        <v>1.8999999999999999</v>
      </c>
      <c r="H165" s="41">
        <v>1.534359</v>
      </c>
      <c r="I165" s="41">
        <f t="shared" si="40"/>
        <v>-0.36564099999999988</v>
      </c>
      <c r="J165" s="41">
        <f t="shared" si="37"/>
        <v>0.36564099999999988</v>
      </c>
      <c r="L165" s="41">
        <v>61.061556167256512</v>
      </c>
      <c r="M165" s="44">
        <v>1.410744</v>
      </c>
      <c r="N165" s="41">
        <v>1.923908</v>
      </c>
      <c r="O165" s="41">
        <f t="shared" si="38"/>
        <v>0.51316399999999995</v>
      </c>
      <c r="P165" s="41">
        <f t="shared" si="39"/>
        <v>0.51316399999999995</v>
      </c>
    </row>
    <row r="166">
      <c r="A166">
        <v>1151</v>
      </c>
      <c r="B166">
        <v>2193516.4389999998</v>
      </c>
      <c r="C166">
        <v>6701955.4639999997</v>
      </c>
      <c r="D166">
        <v>72.215999999999994</v>
      </c>
      <c r="E166">
        <v>539</v>
      </c>
      <c r="F166" s="41">
        <v>50.685262994491524</v>
      </c>
      <c r="G166" s="41">
        <v>1.8700000000000001</v>
      </c>
      <c r="H166" s="41">
        <v>1.5028919999999999</v>
      </c>
      <c r="I166" s="41">
        <f t="shared" si="40"/>
        <v>-0.36710800000000021</v>
      </c>
      <c r="J166" s="41">
        <f t="shared" si="37"/>
        <v>0.36710800000000021</v>
      </c>
      <c r="L166" s="41">
        <v>50.685262994491524</v>
      </c>
      <c r="M166" s="44">
        <v>1.5</v>
      </c>
      <c r="N166" s="41">
        <v>1.5918049999999999</v>
      </c>
      <c r="O166" s="41">
        <f t="shared" si="38"/>
        <v>0.091804999999999914</v>
      </c>
      <c r="P166" s="41">
        <f t="shared" si="39"/>
        <v>0.091804999999999914</v>
      </c>
    </row>
    <row r="167">
      <c r="A167">
        <v>1152</v>
      </c>
      <c r="B167">
        <v>2193522.736</v>
      </c>
      <c r="C167">
        <v>6701949.3310000002</v>
      </c>
      <c r="D167">
        <v>72.082999999999998</v>
      </c>
      <c r="E167">
        <v>539</v>
      </c>
      <c r="F167" s="41">
        <v>41.895160719976879</v>
      </c>
      <c r="G167" s="41">
        <v>1.6699999999999999</v>
      </c>
      <c r="H167" s="41">
        <v>1.4580519999999999</v>
      </c>
      <c r="I167" s="41">
        <f t="shared" si="40"/>
        <v>-0.21194800000000003</v>
      </c>
      <c r="J167" s="41">
        <f t="shared" si="37"/>
        <v>0.21194800000000003</v>
      </c>
      <c r="L167" s="41">
        <v>41.895160719976879</v>
      </c>
      <c r="M167" s="44">
        <v>1.6075920000000001</v>
      </c>
      <c r="N167" s="41">
        <v>1.3912629999999999</v>
      </c>
      <c r="O167" s="41">
        <f t="shared" si="38"/>
        <v>-0.21632900000000022</v>
      </c>
      <c r="P167" s="41">
        <f t="shared" si="39"/>
        <v>0.21632900000000022</v>
      </c>
    </row>
    <row r="168">
      <c r="A168">
        <v>1153</v>
      </c>
      <c r="B168">
        <v>2193529.2930000001</v>
      </c>
      <c r="C168">
        <v>6701941.6169999996</v>
      </c>
      <c r="D168">
        <v>72.278000000000006</v>
      </c>
      <c r="E168">
        <v>539</v>
      </c>
      <c r="F168" s="41">
        <v>31.770930131436756</v>
      </c>
      <c r="G168" s="41">
        <v>1.71</v>
      </c>
      <c r="H168" s="41">
        <v>1.2982229999999999</v>
      </c>
      <c r="I168" s="41">
        <f t="shared" si="40"/>
        <v>-0.41177700000000006</v>
      </c>
      <c r="J168" s="41">
        <f t="shared" si="37"/>
        <v>0.41177700000000006</v>
      </c>
      <c r="L168" s="41">
        <v>31.770930131436756</v>
      </c>
      <c r="M168" s="44">
        <v>1.3</v>
      </c>
      <c r="N168" s="41">
        <v>1.902938</v>
      </c>
      <c r="O168" s="41">
        <f t="shared" si="38"/>
        <v>0.60293799999999997</v>
      </c>
      <c r="P168" s="41">
        <f t="shared" si="39"/>
        <v>0.60293799999999997</v>
      </c>
    </row>
    <row r="169">
      <c r="A169">
        <v>1154</v>
      </c>
      <c r="B169">
        <v>2193536.8960000002</v>
      </c>
      <c r="C169">
        <v>6701935.3650000002</v>
      </c>
      <c r="D169">
        <v>72.548000000000002</v>
      </c>
      <c r="E169">
        <v>539</v>
      </c>
      <c r="F169" s="41">
        <v>21.927500190899437</v>
      </c>
      <c r="G169" s="41">
        <v>1.22</v>
      </c>
      <c r="H169" s="41">
        <v>1.0854299999999999</v>
      </c>
      <c r="I169" s="41">
        <f t="shared" si="40"/>
        <v>-0.13457000000000008</v>
      </c>
      <c r="J169" s="41">
        <f t="shared" si="37"/>
        <v>0.13457000000000008</v>
      </c>
      <c r="L169" s="41">
        <v>21.927500190899437</v>
      </c>
      <c r="M169" s="44">
        <v>1.2</v>
      </c>
      <c r="N169" s="41">
        <v>1.6155949999999999</v>
      </c>
      <c r="O169" s="41">
        <f t="shared" si="38"/>
        <v>0.41559499999999994</v>
      </c>
      <c r="P169" s="41">
        <f t="shared" si="39"/>
        <v>0.41559499999999994</v>
      </c>
    </row>
    <row r="170">
      <c r="A170">
        <v>1155</v>
      </c>
      <c r="B170">
        <v>2193542.6370000001</v>
      </c>
      <c r="C170">
        <v>6701926.8870000001</v>
      </c>
      <c r="D170">
        <v>72.933999999999997</v>
      </c>
      <c r="E170">
        <v>539</v>
      </c>
      <c r="F170" s="41">
        <v>11.688576175109345</v>
      </c>
      <c r="G170" s="41">
        <v>0.58999999999999997</v>
      </c>
      <c r="H170" s="41">
        <v>0.70156499999999999</v>
      </c>
      <c r="I170" s="41">
        <f t="shared" si="40"/>
        <v>0.11156500000000003</v>
      </c>
      <c r="J170" s="41">
        <f t="shared" si="37"/>
        <v>0.11156500000000003</v>
      </c>
      <c r="L170" s="41">
        <v>11.688576175109345</v>
      </c>
      <c r="M170" s="44">
        <v>0.65616000000000008</v>
      </c>
      <c r="N170" s="41">
        <v>0</v>
      </c>
      <c r="O170" s="41">
        <f t="shared" si="38"/>
        <v>-0.65616000000000008</v>
      </c>
      <c r="P170" s="41">
        <f t="shared" si="39"/>
        <v>0.65616000000000008</v>
      </c>
    </row>
    <row r="171">
      <c r="A171" s="1" t="s">
        <v>95</v>
      </c>
      <c r="M171" s="44"/>
    </row>
    <row r="172">
      <c r="A172">
        <v>1156</v>
      </c>
      <c r="B172">
        <v>2193895.3050000002</v>
      </c>
      <c r="C172">
        <v>6702387.4199999999</v>
      </c>
      <c r="D172">
        <v>73.480999999999995</v>
      </c>
      <c r="E172">
        <v>539</v>
      </c>
      <c r="F172" s="41">
        <v>8.8906567247991859</v>
      </c>
      <c r="G172" s="41">
        <v>0.46000000000000002</v>
      </c>
      <c r="H172" s="41">
        <v>0.30385200000000001</v>
      </c>
      <c r="I172" s="41">
        <f t="shared" si="40"/>
        <v>-0.15614800000000001</v>
      </c>
      <c r="J172" s="41">
        <f t="shared" ref="J172:J180" si="41">ABS(I172)</f>
        <v>0.15614800000000001</v>
      </c>
      <c r="L172" s="41">
        <v>8.8906567247991859</v>
      </c>
      <c r="M172" s="44">
        <v>0.55773600000000012</v>
      </c>
      <c r="N172" s="41">
        <v>0.192158</v>
      </c>
      <c r="O172" s="41">
        <f t="shared" ref="O172:O180" si="42">N172-M172</f>
        <v>-0.36557800000000013</v>
      </c>
      <c r="P172" s="41">
        <f t="shared" ref="P172:P180" si="43">ABS(O172)</f>
        <v>0.36557800000000013</v>
      </c>
    </row>
    <row r="173">
      <c r="A173">
        <v>1157</v>
      </c>
      <c r="B173">
        <v>2193889.5109999999</v>
      </c>
      <c r="C173">
        <v>6702392.1710000001</v>
      </c>
      <c r="D173">
        <v>73.122</v>
      </c>
      <c r="E173">
        <v>539</v>
      </c>
      <c r="F173" s="41">
        <v>16.383482427042019</v>
      </c>
      <c r="G173" s="41">
        <v>0.72999999999999998</v>
      </c>
      <c r="H173" s="41">
        <v>0.74654299999999996</v>
      </c>
      <c r="I173" s="41">
        <f t="shared" si="40"/>
        <v>0.016542999999999974</v>
      </c>
      <c r="J173" s="41">
        <f t="shared" si="41"/>
        <v>0.016542999999999974</v>
      </c>
      <c r="L173" s="41">
        <v>16.383482427042019</v>
      </c>
      <c r="M173" s="44">
        <v>1</v>
      </c>
      <c r="N173" s="41">
        <v>0.88623700000000005</v>
      </c>
      <c r="O173" s="41">
        <f t="shared" si="42"/>
        <v>-0.11376299999999995</v>
      </c>
      <c r="P173" s="41">
        <f t="shared" si="43"/>
        <v>0.11376299999999995</v>
      </c>
    </row>
    <row r="174">
      <c r="A174">
        <v>1158</v>
      </c>
      <c r="B174">
        <v>2193882.4559999998</v>
      </c>
      <c r="C174">
        <v>6702397.4819999998</v>
      </c>
      <c r="D174">
        <v>72.465999999999994</v>
      </c>
      <c r="E174">
        <v>539</v>
      </c>
      <c r="F174" s="41">
        <v>25.21409656195663</v>
      </c>
      <c r="G174" s="41">
        <v>0.81999999999999995</v>
      </c>
      <c r="H174" s="41">
        <v>0.88662099999999999</v>
      </c>
      <c r="I174" s="41">
        <f t="shared" si="40"/>
        <v>0.066621000000000041</v>
      </c>
      <c r="J174" s="41">
        <f t="shared" si="41"/>
        <v>0.066621000000000041</v>
      </c>
      <c r="L174" s="41">
        <v>25.21409656195663</v>
      </c>
      <c r="M174" s="44">
        <v>1.6075920000000001</v>
      </c>
      <c r="N174" s="41">
        <v>1.2297480000000001</v>
      </c>
      <c r="O174" s="41">
        <f t="shared" si="42"/>
        <v>-0.37784400000000007</v>
      </c>
      <c r="P174" s="41">
        <f t="shared" si="43"/>
        <v>0.37784400000000007</v>
      </c>
    </row>
    <row r="175">
      <c r="A175">
        <v>1159</v>
      </c>
      <c r="B175">
        <v>2193875.298</v>
      </c>
      <c r="C175">
        <v>6702403.2850000001</v>
      </c>
      <c r="D175">
        <v>72.105000000000004</v>
      </c>
      <c r="E175">
        <v>539</v>
      </c>
      <c r="F175" s="41">
        <v>34.428854996174287</v>
      </c>
      <c r="G175" s="41">
        <v>0.78000000000000003</v>
      </c>
      <c r="H175" s="41">
        <v>0.99212400000000001</v>
      </c>
      <c r="I175" s="41">
        <f t="shared" si="40"/>
        <v>0.21212399999999998</v>
      </c>
      <c r="J175" s="41">
        <f t="shared" si="41"/>
        <v>0.21212399999999998</v>
      </c>
      <c r="L175" s="41">
        <v>34.428854996174287</v>
      </c>
      <c r="M175" s="44">
        <v>2</v>
      </c>
      <c r="N175" s="41">
        <v>1.700299</v>
      </c>
      <c r="O175" s="41">
        <f t="shared" si="42"/>
        <v>-0.299701</v>
      </c>
      <c r="P175" s="41">
        <f t="shared" si="43"/>
        <v>0.299701</v>
      </c>
    </row>
    <row r="176">
      <c r="A176">
        <v>1160</v>
      </c>
      <c r="B176">
        <v>2193867.051</v>
      </c>
      <c r="C176">
        <v>6702410.1299999999</v>
      </c>
      <c r="D176">
        <v>71.599999999999994</v>
      </c>
      <c r="E176">
        <v>539</v>
      </c>
      <c r="F176" s="41">
        <v>45.146458925971281</v>
      </c>
      <c r="G176" s="41">
        <v>1.1200000000000001</v>
      </c>
      <c r="H176" s="41">
        <v>1.1172200000000001</v>
      </c>
      <c r="I176" s="41">
        <f t="shared" si="40"/>
        <v>-0.0027800000000000047</v>
      </c>
      <c r="J176" s="41">
        <f t="shared" si="41"/>
        <v>0.0027800000000000047</v>
      </c>
      <c r="L176" s="41">
        <v>45.146458925971281</v>
      </c>
      <c r="M176" s="44">
        <v>2.5262160000000002</v>
      </c>
      <c r="N176" s="41">
        <v>2.4356010000000001</v>
      </c>
      <c r="O176" s="41">
        <f t="shared" si="42"/>
        <v>-0.090615000000000112</v>
      </c>
      <c r="P176" s="41">
        <f t="shared" si="43"/>
        <v>0.090615000000000112</v>
      </c>
    </row>
    <row r="177">
      <c r="A177">
        <v>1161</v>
      </c>
      <c r="B177">
        <v>2193857.6209999998</v>
      </c>
      <c r="C177">
        <v>6702417.3229999999</v>
      </c>
      <c r="D177">
        <v>71.013000000000005</v>
      </c>
      <c r="E177">
        <v>539</v>
      </c>
      <c r="F177" s="41">
        <v>57.00665070362534</v>
      </c>
      <c r="G177" s="41">
        <v>1.1599999999999999</v>
      </c>
      <c r="H177" s="41">
        <v>1.249171</v>
      </c>
      <c r="I177" s="41">
        <f t="shared" si="40"/>
        <v>0.089171000000000111</v>
      </c>
      <c r="J177" s="41">
        <f t="shared" si="41"/>
        <v>0.089171000000000111</v>
      </c>
      <c r="L177" s="41">
        <v>57.00665070362534</v>
      </c>
      <c r="M177" s="44">
        <v>3.1000000000000001</v>
      </c>
      <c r="N177" s="41">
        <v>3.2233559999999999</v>
      </c>
      <c r="O177" s="41">
        <f t="shared" si="42"/>
        <v>0.1233559999999998</v>
      </c>
      <c r="P177" s="41">
        <f t="shared" si="43"/>
        <v>0.1233559999999998</v>
      </c>
    </row>
    <row r="178">
      <c r="A178">
        <v>1162</v>
      </c>
      <c r="B178">
        <v>2193851.1669999999</v>
      </c>
      <c r="C178">
        <v>6702420.7699999996</v>
      </c>
      <c r="D178">
        <v>70.741</v>
      </c>
      <c r="E178">
        <v>539</v>
      </c>
      <c r="F178" s="41">
        <v>64.323475492886047</v>
      </c>
      <c r="G178" s="41">
        <v>1.3799999999999999</v>
      </c>
      <c r="H178" s="41">
        <v>1.2962469999999999</v>
      </c>
      <c r="I178" s="41">
        <f t="shared" si="40"/>
        <v>-0.083752999999999966</v>
      </c>
      <c r="J178" s="41">
        <f t="shared" si="41"/>
        <v>0.083752999999999966</v>
      </c>
      <c r="L178" s="41">
        <v>64.323475492886047</v>
      </c>
      <c r="M178" s="44">
        <v>3.4120320000000004</v>
      </c>
      <c r="N178" s="41">
        <v>3.5960179999999999</v>
      </c>
      <c r="O178" s="41">
        <f t="shared" si="42"/>
        <v>0.18398599999999954</v>
      </c>
      <c r="P178" s="41">
        <f t="shared" si="43"/>
        <v>0.18398599999999954</v>
      </c>
    </row>
    <row r="179">
      <c r="A179">
        <v>1163</v>
      </c>
      <c r="B179">
        <v>2193846.0099999998</v>
      </c>
      <c r="C179">
        <v>6702425.2230000002</v>
      </c>
      <c r="D179">
        <v>70.524000000000001</v>
      </c>
      <c r="E179">
        <v>539</v>
      </c>
      <c r="F179" s="41">
        <v>71.13698105223699</v>
      </c>
      <c r="G179" s="41">
        <v>1.27</v>
      </c>
      <c r="H179" s="41">
        <v>1.3331459999999999</v>
      </c>
      <c r="I179" s="41">
        <f t="shared" si="40"/>
        <v>0.063145999999999924</v>
      </c>
      <c r="J179" s="41">
        <f t="shared" si="41"/>
        <v>0.063145999999999924</v>
      </c>
      <c r="L179" s="41">
        <v>71.13698105223699</v>
      </c>
      <c r="M179" s="44">
        <v>3.6000000000000001</v>
      </c>
      <c r="N179" s="41">
        <v>3.8253900000000001</v>
      </c>
      <c r="O179" s="41">
        <f t="shared" si="42"/>
        <v>0.22538999999999998</v>
      </c>
      <c r="P179" s="41">
        <f t="shared" si="43"/>
        <v>0.22538999999999998</v>
      </c>
    </row>
    <row r="180">
      <c r="A180">
        <v>1164</v>
      </c>
      <c r="B180">
        <v>2193839.7969999998</v>
      </c>
      <c r="C180">
        <v>6702429.9340000004</v>
      </c>
      <c r="D180">
        <v>70.119</v>
      </c>
      <c r="E180">
        <v>539</v>
      </c>
      <c r="F180" s="41">
        <v>78.93408884943041</v>
      </c>
      <c r="G180" s="41">
        <v>1.4099999999999999</v>
      </c>
      <c r="H180" s="41">
        <v>1.358725</v>
      </c>
      <c r="I180" s="41">
        <f t="shared" si="40"/>
        <v>-0.051274999999999959</v>
      </c>
      <c r="J180" s="41">
        <f t="shared" si="41"/>
        <v>0.051274999999999959</v>
      </c>
      <c r="L180" s="41">
        <v>78.93408884943041</v>
      </c>
      <c r="M180" s="44">
        <v>4.0353840000000005</v>
      </c>
      <c r="N180" s="41">
        <v>3.9117440000000001</v>
      </c>
      <c r="O180" s="41">
        <f t="shared" si="42"/>
        <v>-0.12364000000000042</v>
      </c>
      <c r="P180" s="41">
        <f t="shared" si="43"/>
        <v>0.12364000000000042</v>
      </c>
    </row>
    <row r="181">
      <c r="A181" s="1" t="s">
        <v>96</v>
      </c>
      <c r="M181" s="44"/>
    </row>
    <row r="182">
      <c r="A182">
        <v>1165</v>
      </c>
      <c r="B182">
        <v>2194301.5550000002</v>
      </c>
      <c r="C182">
        <v>6703230.4740000004</v>
      </c>
      <c r="D182">
        <v>74.475999999999999</v>
      </c>
      <c r="E182">
        <v>539</v>
      </c>
      <c r="F182" s="41">
        <v>3.7542840863491707</v>
      </c>
      <c r="G182" s="41">
        <v>0.97999999999999998</v>
      </c>
      <c r="H182" s="41">
        <v>1.587186</v>
      </c>
      <c r="I182" s="41">
        <f t="shared" si="40"/>
        <v>0.607186</v>
      </c>
      <c r="J182" s="41">
        <f t="shared" ref="J182:J191" si="44">ABS(I182)</f>
        <v>0.607186</v>
      </c>
      <c r="L182" s="41">
        <v>3.7542840863491707</v>
      </c>
      <c r="M182" s="44">
        <v>0.72177600000000008</v>
      </c>
      <c r="N182" s="41">
        <v>0.46903400000000001</v>
      </c>
      <c r="O182" s="41">
        <f t="shared" ref="O182:O191" si="45">N182-M182</f>
        <v>-0.25274200000000008</v>
      </c>
      <c r="P182" s="41">
        <f t="shared" ref="P182:P191" si="46">ABS(O182)</f>
        <v>0.25274200000000008</v>
      </c>
    </row>
    <row r="183">
      <c r="A183">
        <v>1166</v>
      </c>
      <c r="B183">
        <v>2194310.1430000002</v>
      </c>
      <c r="C183">
        <v>6703229.3399999999</v>
      </c>
      <c r="D183">
        <v>74.168999999999997</v>
      </c>
      <c r="E183">
        <v>539</v>
      </c>
      <c r="F183" s="41">
        <v>12.416829901583949</v>
      </c>
      <c r="G183" s="41">
        <v>2.3100000000000001</v>
      </c>
      <c r="H183" s="41">
        <v>2.6581510000000002</v>
      </c>
      <c r="I183" s="41">
        <f t="shared" si="40"/>
        <v>0.3481510000000001</v>
      </c>
      <c r="J183" s="41">
        <f t="shared" si="44"/>
        <v>0.3481510000000001</v>
      </c>
      <c r="L183" s="41">
        <v>12.416829901583949</v>
      </c>
      <c r="M183" s="44">
        <v>0.80000000000000004</v>
      </c>
      <c r="N183" s="41">
        <v>1.2110209999999999</v>
      </c>
      <c r="O183" s="41">
        <f t="shared" si="45"/>
        <v>0.41102099999999986</v>
      </c>
      <c r="P183" s="41">
        <f t="shared" si="46"/>
        <v>0.41102099999999986</v>
      </c>
    </row>
    <row r="184">
      <c r="A184">
        <v>1167</v>
      </c>
      <c r="B184">
        <v>2194318.8939999999</v>
      </c>
      <c r="C184">
        <v>6703229.3320000004</v>
      </c>
      <c r="D184">
        <v>73.760000000000005</v>
      </c>
      <c r="E184">
        <v>539</v>
      </c>
      <c r="F184" s="41">
        <v>21.167833558005878</v>
      </c>
      <c r="G184" s="41">
        <v>3.6699999999999999</v>
      </c>
      <c r="H184" s="41">
        <v>3.219328</v>
      </c>
      <c r="I184" s="41">
        <f t="shared" si="40"/>
        <v>-0.45067199999999996</v>
      </c>
      <c r="J184" s="41">
        <f t="shared" si="44"/>
        <v>0.45067199999999996</v>
      </c>
      <c r="L184" s="41">
        <v>21.167833558005878</v>
      </c>
      <c r="M184" s="44">
        <v>1.2795120000000002</v>
      </c>
      <c r="N184" s="41">
        <v>1.395008</v>
      </c>
      <c r="O184" s="41">
        <f t="shared" si="45"/>
        <v>0.11549599999999982</v>
      </c>
      <c r="P184" s="41">
        <f t="shared" si="46"/>
        <v>0.11549599999999982</v>
      </c>
    </row>
    <row r="185">
      <c r="A185">
        <v>1168</v>
      </c>
      <c r="B185">
        <v>2194328.1719999998</v>
      </c>
      <c r="C185">
        <v>6703229.1710000001</v>
      </c>
      <c r="D185">
        <v>73.456999999999994</v>
      </c>
      <c r="E185">
        <v>539</v>
      </c>
      <c r="F185" s="41">
        <v>30.447230359461052</v>
      </c>
      <c r="G185" s="41">
        <v>2.8500000000000001</v>
      </c>
      <c r="H185" s="41">
        <v>3.6373920000000002</v>
      </c>
      <c r="I185" s="41">
        <f t="shared" si="40"/>
        <v>0.78739200000000009</v>
      </c>
      <c r="J185" s="41">
        <f t="shared" si="44"/>
        <v>0.78739200000000009</v>
      </c>
      <c r="L185" s="41">
        <v>30.447230359461052</v>
      </c>
      <c r="M185" s="44">
        <v>1.2</v>
      </c>
      <c r="N185" s="41">
        <v>1.734407</v>
      </c>
      <c r="O185" s="41">
        <f t="shared" si="45"/>
        <v>0.53440700000000008</v>
      </c>
      <c r="P185" s="41">
        <f t="shared" si="46"/>
        <v>0.53440700000000008</v>
      </c>
    </row>
    <row r="186">
      <c r="A186">
        <v>1169</v>
      </c>
      <c r="B186">
        <v>2194334.449</v>
      </c>
      <c r="C186">
        <v>6703229.051</v>
      </c>
      <c r="D186">
        <v>73.364999999999995</v>
      </c>
      <c r="E186">
        <v>539</v>
      </c>
      <c r="F186" s="41">
        <v>36.725377299679415</v>
      </c>
      <c r="G186" s="41">
        <v>4.9500000000000002</v>
      </c>
      <c r="H186" s="41">
        <v>3.790829</v>
      </c>
      <c r="I186" s="41">
        <f t="shared" si="40"/>
        <v>-1.1591710000000002</v>
      </c>
      <c r="J186" s="41">
        <f t="shared" si="44"/>
        <v>1.1591710000000002</v>
      </c>
      <c r="L186" s="41">
        <v>36.725377299679415</v>
      </c>
      <c r="M186" s="44">
        <v>1.6404000000000001</v>
      </c>
      <c r="N186" s="41">
        <v>2.0400010000000002</v>
      </c>
      <c r="O186" s="41">
        <f t="shared" si="45"/>
        <v>0.3996010000000001</v>
      </c>
      <c r="P186" s="41">
        <f t="shared" si="46"/>
        <v>0.3996010000000001</v>
      </c>
    </row>
    <row r="187">
      <c r="A187">
        <v>1170</v>
      </c>
      <c r="B187">
        <v>2194343.8480000002</v>
      </c>
      <c r="C187">
        <v>6703228.7249999996</v>
      </c>
      <c r="D187">
        <v>73.125</v>
      </c>
      <c r="E187">
        <v>539</v>
      </c>
      <c r="F187" s="41">
        <v>46.13002918075135</v>
      </c>
      <c r="G187" s="41">
        <v>4.3700000000000001</v>
      </c>
      <c r="H187" s="41">
        <v>3.8580999999999999</v>
      </c>
      <c r="I187" s="41">
        <f t="shared" si="40"/>
        <v>-0.51190000000000024</v>
      </c>
      <c r="J187" s="41">
        <f t="shared" si="44"/>
        <v>0.51190000000000024</v>
      </c>
      <c r="L187" s="41">
        <v>46.13002918075135</v>
      </c>
      <c r="M187" s="44">
        <v>2.1000000000000001</v>
      </c>
      <c r="N187" s="41">
        <v>2.462288</v>
      </c>
      <c r="O187" s="41">
        <f t="shared" si="45"/>
        <v>0.36228799999999994</v>
      </c>
      <c r="P187" s="41">
        <f t="shared" si="46"/>
        <v>0.36228799999999994</v>
      </c>
    </row>
    <row r="188">
      <c r="A188">
        <v>1171</v>
      </c>
      <c r="B188">
        <v>2194352.1919999998</v>
      </c>
      <c r="C188">
        <v>6703228.4009999996</v>
      </c>
      <c r="D188">
        <v>73.177999999999997</v>
      </c>
      <c r="E188">
        <v>539</v>
      </c>
      <c r="F188" s="41">
        <v>54.480317319068938</v>
      </c>
      <c r="G188" s="41">
        <v>4.9199999999999999</v>
      </c>
      <c r="H188" s="41">
        <v>3.6134810000000002</v>
      </c>
      <c r="I188" s="41">
        <f t="shared" si="40"/>
        <v>-1.3065189999999998</v>
      </c>
      <c r="J188" s="41">
        <f t="shared" si="44"/>
        <v>1.3065189999999998</v>
      </c>
      <c r="L188" s="41">
        <v>54.480317319068938</v>
      </c>
      <c r="M188" s="44">
        <v>2.1653280000000001</v>
      </c>
      <c r="N188" s="41">
        <v>2.1033279999999999</v>
      </c>
      <c r="O188" s="41">
        <f t="shared" si="45"/>
        <v>-0.062000000000000277</v>
      </c>
      <c r="P188" s="41">
        <f t="shared" si="46"/>
        <v>0.062000000000000277</v>
      </c>
    </row>
    <row r="189">
      <c r="A189">
        <v>1172</v>
      </c>
      <c r="B189">
        <v>2194361.6740000001</v>
      </c>
      <c r="C189">
        <v>6703227.0930000003</v>
      </c>
      <c r="D189">
        <v>73.593999999999994</v>
      </c>
      <c r="E189">
        <v>539</v>
      </c>
      <c r="F189" s="41">
        <v>64.052108583191554</v>
      </c>
      <c r="G189" s="41">
        <v>4.0999999999999996</v>
      </c>
      <c r="H189" s="41">
        <v>3.1150289999999998</v>
      </c>
      <c r="I189" s="41">
        <f t="shared" si="40"/>
        <v>-0.98497099999999982</v>
      </c>
      <c r="J189" s="41">
        <f t="shared" si="44"/>
        <v>0.98497099999999982</v>
      </c>
      <c r="L189" s="41">
        <v>64.052108583191554</v>
      </c>
      <c r="M189" s="44">
        <v>1.5</v>
      </c>
      <c r="N189" s="41">
        <v>1.5676399999999999</v>
      </c>
      <c r="O189" s="41">
        <f t="shared" si="45"/>
        <v>0.067639999999999922</v>
      </c>
      <c r="P189" s="41">
        <f t="shared" si="46"/>
        <v>0.067639999999999922</v>
      </c>
    </row>
    <row r="190">
      <c r="A190">
        <v>1173</v>
      </c>
      <c r="B190">
        <v>2194369.2560000001</v>
      </c>
      <c r="C190">
        <v>6703227.2769999998</v>
      </c>
      <c r="D190">
        <v>73.546000000000006</v>
      </c>
      <c r="E190">
        <v>539</v>
      </c>
      <c r="F190" s="41">
        <v>71.636340910779396</v>
      </c>
      <c r="G190" s="41">
        <v>3.5600000000000001</v>
      </c>
      <c r="H190" s="41">
        <v>2.629057</v>
      </c>
      <c r="I190" s="41">
        <f t="shared" si="40"/>
        <v>-0.93094300000000008</v>
      </c>
      <c r="J190" s="41">
        <f t="shared" si="44"/>
        <v>0.93094300000000008</v>
      </c>
      <c r="L190" s="41">
        <v>71.636340910779396</v>
      </c>
      <c r="M190" s="44">
        <v>1.5</v>
      </c>
      <c r="N190" s="41">
        <v>1.1332800000000001</v>
      </c>
      <c r="O190" s="41">
        <f t="shared" si="45"/>
        <v>-0.36671999999999993</v>
      </c>
      <c r="P190" s="41">
        <f t="shared" si="46"/>
        <v>0.36671999999999993</v>
      </c>
    </row>
    <row r="191">
      <c r="A191">
        <v>1174</v>
      </c>
      <c r="B191">
        <v>2194381.3599999999</v>
      </c>
      <c r="C191">
        <v>6703225.4189999998</v>
      </c>
      <c r="D191">
        <v>74.629999999999995</v>
      </c>
      <c r="E191">
        <v>539</v>
      </c>
      <c r="F191" s="41">
        <v>83.882114875523669</v>
      </c>
      <c r="G191" s="41">
        <v>1.3799999999999999</v>
      </c>
      <c r="H191" s="41">
        <v>2.0405799999999998</v>
      </c>
      <c r="I191" s="41">
        <f t="shared" si="40"/>
        <v>0.66057999999999995</v>
      </c>
      <c r="J191" s="41">
        <f t="shared" si="44"/>
        <v>0.66057999999999995</v>
      </c>
      <c r="L191" s="41">
        <v>83.882114875523669</v>
      </c>
      <c r="M191" s="44">
        <v>0.36088800000000004</v>
      </c>
      <c r="N191" s="41">
        <v>0.64272300000000004</v>
      </c>
      <c r="O191" s="41">
        <f t="shared" si="45"/>
        <v>0.281835</v>
      </c>
      <c r="P191" s="41">
        <f t="shared" si="46"/>
        <v>0.281835</v>
      </c>
    </row>
    <row r="192">
      <c r="A192" s="1" t="s">
        <v>55</v>
      </c>
      <c r="F192" s="45"/>
      <c r="L192" s="45"/>
      <c r="M192" s="44"/>
    </row>
    <row r="193">
      <c r="A193">
        <v>1175</v>
      </c>
      <c r="B193">
        <v>2206849.7489999998</v>
      </c>
      <c r="C193">
        <v>6750293.0590000004</v>
      </c>
      <c r="D193">
        <v>196.56999999999999</v>
      </c>
      <c r="E193">
        <v>797</v>
      </c>
      <c r="F193" s="45">
        <v>2.8092904795872684</v>
      </c>
      <c r="G193" s="41">
        <v>0.68999999999999995</v>
      </c>
      <c r="H193" s="41">
        <v>0</v>
      </c>
      <c r="I193" s="41">
        <f t="shared" ref="I193:I217" si="47">H193-G193</f>
        <v>-0.68999999999999995</v>
      </c>
      <c r="J193" s="41">
        <f t="shared" ref="J193:J217" si="48">ABS(I193)</f>
        <v>0.68999999999999995</v>
      </c>
      <c r="L193" s="45">
        <v>2.8092904795872684</v>
      </c>
      <c r="M193" s="44">
        <v>0.8530080000000001</v>
      </c>
      <c r="N193" s="41">
        <v>0</v>
      </c>
      <c r="O193" s="41">
        <f t="shared" ref="O193:O217" si="49">N193-M193</f>
        <v>-0.8530080000000001</v>
      </c>
      <c r="P193" s="41">
        <f t="shared" ref="P193:P217" si="50">ABS(O193)</f>
        <v>0.8530080000000001</v>
      </c>
    </row>
    <row r="194">
      <c r="A194">
        <v>1176</v>
      </c>
      <c r="B194">
        <v>2206859.4300000002</v>
      </c>
      <c r="C194">
        <v>6750293.3509999998</v>
      </c>
      <c r="D194">
        <v>195.56399999999999</v>
      </c>
      <c r="E194">
        <v>797</v>
      </c>
      <c r="F194" s="45">
        <v>12.494693156094259</v>
      </c>
      <c r="G194" s="41">
        <v>1.71</v>
      </c>
      <c r="H194" s="41">
        <v>0.41518500000000003</v>
      </c>
      <c r="I194" s="41">
        <f t="shared" si="47"/>
        <v>-1.2948149999999998</v>
      </c>
      <c r="J194" s="41">
        <f t="shared" si="48"/>
        <v>1.2948149999999998</v>
      </c>
      <c r="L194" s="45">
        <v>12.494693156094259</v>
      </c>
      <c r="M194" s="44">
        <v>1.7</v>
      </c>
      <c r="N194" s="41">
        <v>0</v>
      </c>
      <c r="O194" s="41">
        <f t="shared" si="49"/>
        <v>-1.7</v>
      </c>
      <c r="P194" s="41">
        <f t="shared" si="50"/>
        <v>1.7</v>
      </c>
    </row>
    <row r="195">
      <c r="A195">
        <v>1177</v>
      </c>
      <c r="B195">
        <v>2206869.8289999999</v>
      </c>
      <c r="C195">
        <v>6750293.7620000001</v>
      </c>
      <c r="D195">
        <v>196.22999999999999</v>
      </c>
      <c r="E195">
        <v>797</v>
      </c>
      <c r="F195" s="45">
        <v>22.901811969431176</v>
      </c>
      <c r="G195" s="41">
        <v>1.71</v>
      </c>
      <c r="H195" s="41">
        <v>1.636225</v>
      </c>
      <c r="I195" s="41">
        <f t="shared" si="47"/>
        <v>-0.073774999999999924</v>
      </c>
      <c r="J195" s="41">
        <f t="shared" si="48"/>
        <v>0.073774999999999924</v>
      </c>
      <c r="L195" s="45">
        <v>22.901811969431176</v>
      </c>
      <c r="M195" s="44">
        <v>1.2795120000000002</v>
      </c>
      <c r="N195" s="41">
        <v>0.58553999999999995</v>
      </c>
      <c r="O195" s="41">
        <f t="shared" si="49"/>
        <v>-0.69397200000000026</v>
      </c>
      <c r="P195" s="41">
        <f t="shared" si="50"/>
        <v>0.69397200000000026</v>
      </c>
    </row>
    <row r="196">
      <c r="A196">
        <v>1178</v>
      </c>
      <c r="B196">
        <v>2206883.4980000001</v>
      </c>
      <c r="C196">
        <v>6750294.4309999999</v>
      </c>
      <c r="D196">
        <v>196.245</v>
      </c>
      <c r="E196">
        <v>797</v>
      </c>
      <c r="F196" s="45">
        <v>36.587173565161606</v>
      </c>
      <c r="G196" s="41">
        <v>2.25</v>
      </c>
      <c r="H196" s="41">
        <v>2.3045789999999999</v>
      </c>
      <c r="I196" s="41">
        <f t="shared" si="47"/>
        <v>0.054578999999999933</v>
      </c>
      <c r="J196" s="41">
        <f t="shared" si="48"/>
        <v>0.054578999999999933</v>
      </c>
      <c r="L196" s="45">
        <v>36.587173565161606</v>
      </c>
      <c r="M196" s="44">
        <v>1</v>
      </c>
      <c r="N196" s="41">
        <v>1.508745</v>
      </c>
      <c r="O196" s="41">
        <f t="shared" si="49"/>
        <v>0.508745</v>
      </c>
      <c r="P196" s="41">
        <f t="shared" si="50"/>
        <v>0.508745</v>
      </c>
    </row>
    <row r="197">
      <c r="A197">
        <v>1179</v>
      </c>
      <c r="B197">
        <v>2206894.693</v>
      </c>
      <c r="C197">
        <v>6750293.5199999996</v>
      </c>
      <c r="D197">
        <v>195.55799999999999</v>
      </c>
      <c r="E197">
        <v>797</v>
      </c>
      <c r="F197" s="45">
        <v>47.819178995930272</v>
      </c>
      <c r="G197" s="41">
        <v>2.4300000000000002</v>
      </c>
      <c r="H197" s="41">
        <v>2.5399669999999999</v>
      </c>
      <c r="I197" s="41">
        <f t="shared" si="47"/>
        <v>0.1099669999999997</v>
      </c>
      <c r="J197" s="41">
        <f t="shared" si="48"/>
        <v>0.1099669999999997</v>
      </c>
      <c r="L197" s="45">
        <v>47.819178995930272</v>
      </c>
      <c r="M197" s="44">
        <v>1.6075920000000001</v>
      </c>
      <c r="N197" s="41">
        <v>1.7325459999999999</v>
      </c>
      <c r="O197" s="41">
        <f t="shared" si="49"/>
        <v>0.12495399999999979</v>
      </c>
      <c r="P197" s="41">
        <f t="shared" si="50"/>
        <v>0.12495399999999979</v>
      </c>
    </row>
    <row r="198">
      <c r="A198">
        <v>1180</v>
      </c>
      <c r="B198">
        <v>2206906.2370000002</v>
      </c>
      <c r="C198">
        <v>6750293.1129999999</v>
      </c>
      <c r="D198">
        <v>195.01300000000001</v>
      </c>
      <c r="E198">
        <v>797</v>
      </c>
      <c r="F198" s="45">
        <v>59.370351447459498</v>
      </c>
      <c r="G198" s="41">
        <v>2.4300000000000002</v>
      </c>
      <c r="H198" s="41">
        <v>2.6512929999999999</v>
      </c>
      <c r="I198" s="41">
        <f t="shared" si="47"/>
        <v>0.22129299999999974</v>
      </c>
      <c r="J198" s="41">
        <f t="shared" si="48"/>
        <v>0.22129299999999974</v>
      </c>
      <c r="L198" s="45">
        <v>59.370351447459498</v>
      </c>
      <c r="M198" s="44">
        <v>2.2309440000000005</v>
      </c>
      <c r="N198" s="41">
        <v>2.3815360000000001</v>
      </c>
      <c r="O198" s="41">
        <f t="shared" si="49"/>
        <v>0.15059199999999962</v>
      </c>
      <c r="P198" s="41">
        <f t="shared" si="50"/>
        <v>0.15059199999999962</v>
      </c>
    </row>
    <row r="199">
      <c r="A199">
        <v>1181</v>
      </c>
      <c r="B199">
        <v>2206917.3960000002</v>
      </c>
      <c r="C199">
        <v>6750292.2230000002</v>
      </c>
      <c r="D199">
        <v>194.93100000000001</v>
      </c>
      <c r="E199">
        <v>797</v>
      </c>
      <c r="F199" s="45">
        <v>70.564786716782848</v>
      </c>
      <c r="G199" s="41">
        <v>2.5299999999999998</v>
      </c>
      <c r="H199" s="41">
        <v>2.7287439999999998</v>
      </c>
      <c r="I199" s="41">
        <f t="shared" si="47"/>
        <v>0.19874400000000003</v>
      </c>
      <c r="J199" s="41">
        <f t="shared" si="48"/>
        <v>0.19874400000000003</v>
      </c>
      <c r="L199" s="45">
        <v>70.564786716782848</v>
      </c>
      <c r="M199" s="44">
        <v>2.3999999999999999</v>
      </c>
      <c r="N199" s="41">
        <v>2.3868969999999998</v>
      </c>
      <c r="O199" s="41">
        <f t="shared" si="49"/>
        <v>-0.013103000000000087</v>
      </c>
      <c r="P199" s="41">
        <f t="shared" si="50"/>
        <v>0.013103000000000087</v>
      </c>
    </row>
    <row r="200">
      <c r="A200">
        <v>1182</v>
      </c>
      <c r="B200">
        <v>2206926.4819999998</v>
      </c>
      <c r="C200">
        <v>6750292.3969999999</v>
      </c>
      <c r="D200">
        <v>193.898</v>
      </c>
      <c r="E200">
        <v>797</v>
      </c>
      <c r="F200" s="45">
        <v>79.652452643395563</v>
      </c>
      <c r="G200" s="41">
        <v>2.8199999999999998</v>
      </c>
      <c r="H200" s="41">
        <v>2.8088920000000002</v>
      </c>
      <c r="I200" s="41">
        <f t="shared" si="47"/>
        <v>-0.011107999999999674</v>
      </c>
      <c r="J200" s="41">
        <f t="shared" si="48"/>
        <v>0.011107999999999674</v>
      </c>
      <c r="L200" s="45">
        <v>79.652452643395563</v>
      </c>
      <c r="M200" s="44">
        <v>3.3464160000000001</v>
      </c>
      <c r="N200" s="41">
        <v>2.404217</v>
      </c>
      <c r="O200" s="41">
        <f t="shared" si="49"/>
        <v>-0.94219900000000001</v>
      </c>
      <c r="P200" s="41">
        <f t="shared" si="50"/>
        <v>0.94219900000000001</v>
      </c>
    </row>
    <row r="201">
      <c r="A201">
        <v>1183</v>
      </c>
      <c r="B201">
        <v>2206939.7319999998</v>
      </c>
      <c r="C201">
        <v>6750292.4299999997</v>
      </c>
      <c r="D201">
        <v>193.947</v>
      </c>
      <c r="E201">
        <v>797</v>
      </c>
      <c r="F201" s="45">
        <v>92.902493737671008</v>
      </c>
      <c r="G201" s="41">
        <v>3.0099999999999998</v>
      </c>
      <c r="H201" s="41">
        <v>2.8925079999999999</v>
      </c>
      <c r="I201" s="41">
        <f t="shared" si="47"/>
        <v>-0.11749199999999993</v>
      </c>
      <c r="J201" s="41">
        <f t="shared" si="48"/>
        <v>0.11749199999999993</v>
      </c>
      <c r="L201" s="45">
        <v>92.902493737671008</v>
      </c>
      <c r="M201" s="44">
        <v>3.2000000000000002</v>
      </c>
      <c r="N201" s="41">
        <v>2.4022199999999998</v>
      </c>
      <c r="O201" s="41">
        <f t="shared" si="49"/>
        <v>-0.79778000000000038</v>
      </c>
      <c r="P201" s="41">
        <f t="shared" si="50"/>
        <v>0.79778000000000038</v>
      </c>
    </row>
    <row r="202">
      <c r="A202">
        <v>1184</v>
      </c>
      <c r="B202">
        <v>2206950.6430000002</v>
      </c>
      <c r="C202">
        <v>6750291.3590000002</v>
      </c>
      <c r="D202">
        <v>194.822</v>
      </c>
      <c r="E202">
        <v>797</v>
      </c>
      <c r="F202" s="45">
        <v>103.86593124630959</v>
      </c>
      <c r="G202" s="41">
        <v>2.5600000000000001</v>
      </c>
      <c r="H202" s="41">
        <v>2.948264</v>
      </c>
      <c r="I202" s="41">
        <f t="shared" si="47"/>
        <v>0.38826399999999994</v>
      </c>
      <c r="J202" s="41">
        <f t="shared" si="48"/>
        <v>0.38826399999999994</v>
      </c>
      <c r="L202" s="45">
        <v>103.86593124630959</v>
      </c>
      <c r="M202" s="44">
        <v>2.2965599999999999</v>
      </c>
      <c r="N202" s="41">
        <v>2.4530729999999998</v>
      </c>
      <c r="O202" s="41">
        <f t="shared" si="49"/>
        <v>0.1565129999999999</v>
      </c>
      <c r="P202" s="41">
        <f t="shared" si="50"/>
        <v>0.1565129999999999</v>
      </c>
    </row>
    <row r="203">
      <c r="A203">
        <v>1185</v>
      </c>
      <c r="B203">
        <v>2206961.0279999999</v>
      </c>
      <c r="C203">
        <v>6750290.0329999998</v>
      </c>
      <c r="D203">
        <v>195.08199999999999</v>
      </c>
      <c r="E203">
        <v>797</v>
      </c>
      <c r="F203" s="45">
        <v>114.33524359222258</v>
      </c>
      <c r="G203" s="41">
        <v>3.1200000000000001</v>
      </c>
      <c r="H203" s="41">
        <v>3.030386</v>
      </c>
      <c r="I203" s="41">
        <f t="shared" si="47"/>
        <v>-0.089614000000000082</v>
      </c>
      <c r="J203" s="41">
        <f t="shared" si="48"/>
        <v>0.089614000000000082</v>
      </c>
      <c r="L203" s="45">
        <v>114.33524359222258</v>
      </c>
      <c r="M203" s="44">
        <v>2</v>
      </c>
      <c r="N203" s="41">
        <v>2.4219759999999999</v>
      </c>
      <c r="O203" s="41">
        <f t="shared" si="49"/>
        <v>0.42197599999999991</v>
      </c>
      <c r="P203" s="41">
        <f t="shared" si="50"/>
        <v>0.42197599999999991</v>
      </c>
    </row>
    <row r="204">
      <c r="A204">
        <v>1186</v>
      </c>
      <c r="B204">
        <v>2206971.6570000001</v>
      </c>
      <c r="C204">
        <v>6750290.3880000003</v>
      </c>
      <c r="D204">
        <v>195.542</v>
      </c>
      <c r="E204">
        <v>797</v>
      </c>
      <c r="F204" s="45">
        <v>124.97017029645313</v>
      </c>
      <c r="G204" s="41">
        <v>2.9900000000000002</v>
      </c>
      <c r="H204" s="41">
        <v>3.080041</v>
      </c>
      <c r="I204" s="41">
        <f t="shared" si="47"/>
        <v>0.090040999999999816</v>
      </c>
      <c r="J204" s="41">
        <f t="shared" si="48"/>
        <v>0.090040999999999816</v>
      </c>
      <c r="L204" s="45">
        <v>124.97017029645313</v>
      </c>
      <c r="M204" s="44">
        <v>2.13252</v>
      </c>
      <c r="N204" s="41">
        <v>2.1320510000000001</v>
      </c>
      <c r="O204" s="41">
        <f t="shared" si="49"/>
        <v>-0.00046899999999983066</v>
      </c>
      <c r="P204" s="41">
        <f t="shared" si="50"/>
        <v>0.00046899999999983066</v>
      </c>
    </row>
    <row r="205">
      <c r="A205">
        <v>1187</v>
      </c>
      <c r="B205">
        <v>2206984.7280000001</v>
      </c>
      <c r="C205">
        <v>6750290.9239999996</v>
      </c>
      <c r="D205">
        <v>195.637</v>
      </c>
      <c r="E205">
        <v>797</v>
      </c>
      <c r="F205" s="45">
        <v>138.05215550509939</v>
      </c>
      <c r="G205" s="41">
        <v>3.1800000000000002</v>
      </c>
      <c r="H205" s="41">
        <v>2.9667059999999998</v>
      </c>
      <c r="I205" s="41">
        <f t="shared" si="47"/>
        <v>-0.21329400000000032</v>
      </c>
      <c r="J205" s="41">
        <f t="shared" si="48"/>
        <v>0.21329400000000032</v>
      </c>
      <c r="L205" s="45">
        <v>138.05215550509939</v>
      </c>
      <c r="M205" s="44">
        <v>1.7</v>
      </c>
      <c r="N205" s="41">
        <v>1.849583</v>
      </c>
      <c r="O205" s="41">
        <f t="shared" si="49"/>
        <v>0.14958300000000002</v>
      </c>
      <c r="P205" s="41">
        <f t="shared" si="50"/>
        <v>0.14958300000000002</v>
      </c>
    </row>
    <row r="206">
      <c r="A206">
        <v>1188</v>
      </c>
      <c r="B206">
        <v>2206994.2829999998</v>
      </c>
      <c r="C206">
        <v>6750289.9639999997</v>
      </c>
      <c r="D206">
        <v>195.34800000000001</v>
      </c>
      <c r="E206">
        <v>797</v>
      </c>
      <c r="F206" s="45">
        <v>147.65526047142322</v>
      </c>
      <c r="G206" s="41">
        <v>2.5600000000000001</v>
      </c>
      <c r="H206" s="41">
        <v>2.7940309999999999</v>
      </c>
      <c r="I206" s="41">
        <f t="shared" si="47"/>
        <v>0.23403099999999988</v>
      </c>
      <c r="J206" s="41">
        <f t="shared" si="48"/>
        <v>0.23403099999999988</v>
      </c>
      <c r="L206" s="45">
        <v>147.65526047142322</v>
      </c>
      <c r="M206" s="44">
        <v>1.7388240000000001</v>
      </c>
      <c r="N206" s="41">
        <v>1.285903</v>
      </c>
      <c r="O206" s="41">
        <f t="shared" si="49"/>
        <v>-0.45292100000000013</v>
      </c>
      <c r="P206" s="41">
        <f t="shared" si="50"/>
        <v>0.45292100000000013</v>
      </c>
    </row>
    <row r="207">
      <c r="A207">
        <v>1189</v>
      </c>
      <c r="B207">
        <v>2207006.2590000001</v>
      </c>
      <c r="C207">
        <v>6750289.8430000003</v>
      </c>
      <c r="D207">
        <v>196.38999999999999</v>
      </c>
      <c r="E207">
        <v>797</v>
      </c>
      <c r="F207" s="45">
        <v>159.63187172026977</v>
      </c>
      <c r="G207" s="41">
        <v>1.27</v>
      </c>
      <c r="H207" s="41">
        <v>2.3518919999999999</v>
      </c>
      <c r="I207" s="41">
        <f t="shared" si="47"/>
        <v>1.0818919999999999</v>
      </c>
      <c r="J207" s="41">
        <f t="shared" si="48"/>
        <v>1.0818919999999999</v>
      </c>
      <c r="L207" s="45">
        <v>159.63187172026977</v>
      </c>
      <c r="M207" s="44">
        <v>1</v>
      </c>
      <c r="N207" s="41">
        <v>0.77539800000000003</v>
      </c>
      <c r="O207" s="41">
        <f t="shared" si="49"/>
        <v>-0.22460199999999997</v>
      </c>
      <c r="P207" s="41">
        <f t="shared" si="50"/>
        <v>0.22460199999999997</v>
      </c>
    </row>
    <row r="208">
      <c r="A208">
        <v>1190</v>
      </c>
      <c r="B208">
        <v>2207016.0899999999</v>
      </c>
      <c r="C208">
        <v>6750289.7180000003</v>
      </c>
      <c r="D208">
        <v>196.74600000000001</v>
      </c>
      <c r="E208">
        <v>797</v>
      </c>
      <c r="F208" s="45">
        <v>169.46366636802009</v>
      </c>
      <c r="G208" s="41">
        <v>0.56000000000000005</v>
      </c>
      <c r="H208" s="41">
        <v>1.817566</v>
      </c>
      <c r="I208" s="41">
        <f t="shared" si="47"/>
        <v>1.257566</v>
      </c>
      <c r="J208" s="41">
        <f t="shared" si="48"/>
        <v>1.257566</v>
      </c>
      <c r="L208" s="45">
        <v>169.46366636802009</v>
      </c>
      <c r="M208" s="44">
        <v>0.39369599999999999</v>
      </c>
      <c r="N208" s="41">
        <v>0.52266900000000005</v>
      </c>
      <c r="O208" s="41">
        <f t="shared" si="49"/>
        <v>0.12897300000000006</v>
      </c>
      <c r="P208" s="41">
        <f t="shared" si="50"/>
        <v>0.12897300000000006</v>
      </c>
    </row>
    <row r="209">
      <c r="A209">
        <v>1191</v>
      </c>
      <c r="B209">
        <v>2207028.6889999998</v>
      </c>
      <c r="C209">
        <v>6750290.6090000002</v>
      </c>
      <c r="D209">
        <v>196.81800000000001</v>
      </c>
      <c r="E209">
        <v>797</v>
      </c>
      <c r="F209" s="45">
        <v>182.09413278846202</v>
      </c>
      <c r="G209" s="41">
        <v>0.39000000000000001</v>
      </c>
      <c r="H209" s="41">
        <v>0.91683800000000004</v>
      </c>
      <c r="I209" s="41">
        <f t="shared" si="47"/>
        <v>0.52683800000000003</v>
      </c>
      <c r="J209" s="41">
        <f t="shared" si="48"/>
        <v>0.52683800000000003</v>
      </c>
      <c r="L209" s="45">
        <v>182.09413278846202</v>
      </c>
      <c r="M209" s="44">
        <v>0.42650400000000005</v>
      </c>
      <c r="N209" s="41">
        <v>0.38447599999999998</v>
      </c>
      <c r="O209" s="41">
        <f t="shared" si="49"/>
        <v>-0.042028000000000065</v>
      </c>
      <c r="P209" s="41">
        <f t="shared" si="50"/>
        <v>0.042028000000000065</v>
      </c>
    </row>
    <row r="210">
      <c r="A210">
        <v>1192</v>
      </c>
      <c r="B210">
        <v>2207041.3900000001</v>
      </c>
      <c r="C210">
        <v>6750290.8499999996</v>
      </c>
      <c r="D210">
        <v>196.56299999999999</v>
      </c>
      <c r="E210">
        <v>797</v>
      </c>
      <c r="F210" s="45">
        <v>194.79741905653586</v>
      </c>
      <c r="G210" s="41">
        <v>0.52000000000000002</v>
      </c>
      <c r="H210" s="41">
        <v>0.67441399999999996</v>
      </c>
      <c r="I210" s="41">
        <f t="shared" si="47"/>
        <v>0.15441399999999994</v>
      </c>
      <c r="J210" s="41">
        <f t="shared" si="48"/>
        <v>0.15441399999999994</v>
      </c>
      <c r="L210" s="45">
        <v>194.79741905653586</v>
      </c>
      <c r="M210" s="44">
        <v>0.42650400000000005</v>
      </c>
      <c r="N210" s="41">
        <v>0.37120300000000001</v>
      </c>
      <c r="O210" s="41">
        <f t="shared" si="49"/>
        <v>-0.055301000000000045</v>
      </c>
      <c r="P210" s="41">
        <f t="shared" si="50"/>
        <v>0.055301000000000045</v>
      </c>
    </row>
    <row r="211">
      <c r="A211">
        <v>1193</v>
      </c>
      <c r="B211">
        <v>2207052.2960000001</v>
      </c>
      <c r="C211">
        <v>6750291.1799999997</v>
      </c>
      <c r="D211">
        <v>196.459</v>
      </c>
      <c r="E211">
        <v>797</v>
      </c>
      <c r="F211" s="45">
        <v>205.7084105788108</v>
      </c>
      <c r="G211" s="41">
        <v>0.97999999999999998</v>
      </c>
      <c r="H211" s="41">
        <v>0.80635100000000004</v>
      </c>
      <c r="I211" s="41">
        <f t="shared" si="47"/>
        <v>-0.17364899999999994</v>
      </c>
      <c r="J211" s="41">
        <f t="shared" si="48"/>
        <v>0.17364899999999994</v>
      </c>
      <c r="L211" s="45">
        <v>205.7084105788108</v>
      </c>
      <c r="M211" s="44">
        <v>0.65616000000000008</v>
      </c>
      <c r="N211" s="41">
        <v>0.57482</v>
      </c>
      <c r="O211" s="41">
        <f t="shared" si="49"/>
        <v>-0.081340000000000079</v>
      </c>
      <c r="P211" s="41">
        <f t="shared" si="50"/>
        <v>0.081340000000000079</v>
      </c>
    </row>
    <row r="212">
      <c r="A212">
        <v>1194</v>
      </c>
      <c r="B212">
        <v>2207063.5419999999</v>
      </c>
      <c r="C212">
        <v>6750291.9780000001</v>
      </c>
      <c r="D212">
        <v>195.971</v>
      </c>
      <c r="E212">
        <v>797</v>
      </c>
      <c r="F212" s="45">
        <v>216.98268749559765</v>
      </c>
      <c r="G212" s="41">
        <v>0.89000000000000001</v>
      </c>
      <c r="H212" s="41">
        <v>0.74181299999999994</v>
      </c>
      <c r="I212" s="41">
        <f t="shared" si="47"/>
        <v>-0.14818700000000007</v>
      </c>
      <c r="J212" s="41">
        <f t="shared" si="48"/>
        <v>0.14818700000000007</v>
      </c>
      <c r="L212" s="45">
        <v>216.98268749559765</v>
      </c>
      <c r="M212" s="44">
        <v>1.2</v>
      </c>
      <c r="N212" s="41">
        <v>0.97225899999999998</v>
      </c>
      <c r="O212" s="41">
        <f t="shared" si="49"/>
        <v>-0.22774099999999997</v>
      </c>
      <c r="P212" s="41">
        <f t="shared" si="50"/>
        <v>0.22774099999999997</v>
      </c>
    </row>
    <row r="213">
      <c r="A213">
        <v>1195</v>
      </c>
      <c r="B213">
        <v>2207073.5789999999</v>
      </c>
      <c r="C213">
        <v>6750290.1220000004</v>
      </c>
      <c r="D213">
        <v>195.559</v>
      </c>
      <c r="E213">
        <v>797</v>
      </c>
      <c r="F213" s="45">
        <v>227.18984699268768</v>
      </c>
      <c r="G213" s="41">
        <v>1.05</v>
      </c>
      <c r="H213" s="41">
        <v>0.66975700000000005</v>
      </c>
      <c r="I213" s="41">
        <f t="shared" si="47"/>
        <v>-0.380243</v>
      </c>
      <c r="J213" s="41">
        <f t="shared" si="48"/>
        <v>0.380243</v>
      </c>
      <c r="L213" s="45">
        <v>227.18984699268768</v>
      </c>
      <c r="M213" s="44">
        <v>1.541976</v>
      </c>
      <c r="N213" s="41">
        <v>1.3161039999999999</v>
      </c>
      <c r="O213" s="41">
        <f t="shared" si="49"/>
        <v>-0.22587200000000007</v>
      </c>
      <c r="P213" s="41">
        <f t="shared" si="50"/>
        <v>0.22587200000000007</v>
      </c>
    </row>
    <row r="214">
      <c r="A214">
        <v>1196</v>
      </c>
      <c r="B214">
        <v>2207085.0060000001</v>
      </c>
      <c r="C214">
        <v>6750288.9869999997</v>
      </c>
      <c r="D214">
        <v>195.453</v>
      </c>
      <c r="E214">
        <v>797</v>
      </c>
      <c r="F214" s="45">
        <v>238.67307624254775</v>
      </c>
      <c r="G214" s="41">
        <v>1.0600000000000001</v>
      </c>
      <c r="H214" s="41">
        <v>0.58384199999999997</v>
      </c>
      <c r="I214" s="41">
        <f t="shared" si="47"/>
        <v>-0.47615800000000008</v>
      </c>
      <c r="J214" s="41">
        <f t="shared" si="48"/>
        <v>0.47615800000000008</v>
      </c>
      <c r="L214" s="45">
        <v>238.67307624254775</v>
      </c>
      <c r="M214" s="44">
        <v>1.6000000000000001</v>
      </c>
      <c r="N214" s="41">
        <v>1.812643</v>
      </c>
      <c r="O214" s="41">
        <f t="shared" si="49"/>
        <v>0.21264299999999992</v>
      </c>
      <c r="P214" s="41">
        <f t="shared" si="50"/>
        <v>0.21264299999999992</v>
      </c>
    </row>
    <row r="215">
      <c r="A215">
        <v>1197</v>
      </c>
      <c r="B215">
        <v>2207094.0359999998</v>
      </c>
      <c r="C215">
        <v>6750287.1330000004</v>
      </c>
      <c r="D215">
        <v>195.15600000000001</v>
      </c>
      <c r="E215">
        <v>797</v>
      </c>
      <c r="F215" s="45">
        <v>247.89143922053339</v>
      </c>
      <c r="G215" s="41">
        <v>0.81999999999999995</v>
      </c>
      <c r="H215" s="41">
        <v>0.52671000000000001</v>
      </c>
      <c r="I215" s="41">
        <f t="shared" si="47"/>
        <v>-0.29328999999999994</v>
      </c>
      <c r="J215" s="41">
        <f t="shared" si="48"/>
        <v>0.29328999999999994</v>
      </c>
      <c r="L215" s="45">
        <v>247.89143922053339</v>
      </c>
      <c r="M215" s="44">
        <v>2.0340959999999999</v>
      </c>
      <c r="N215" s="41">
        <v>1.681511</v>
      </c>
      <c r="O215" s="41">
        <f t="shared" si="49"/>
        <v>-0.35258499999999993</v>
      </c>
      <c r="P215" s="41">
        <f t="shared" si="50"/>
        <v>0.35258499999999993</v>
      </c>
    </row>
    <row r="216">
      <c r="A216">
        <v>1198</v>
      </c>
      <c r="B216">
        <v>2207105.7629999998</v>
      </c>
      <c r="C216">
        <v>6750285.6979999999</v>
      </c>
      <c r="D216">
        <v>196.005</v>
      </c>
      <c r="E216">
        <v>797</v>
      </c>
      <c r="F216" s="45">
        <v>259.70591144744424</v>
      </c>
      <c r="G216" s="41">
        <v>0.51000000000000001</v>
      </c>
      <c r="H216" s="41">
        <v>0.38318799999999997</v>
      </c>
      <c r="I216" s="41">
        <f t="shared" si="47"/>
        <v>-0.12681200000000004</v>
      </c>
      <c r="J216" s="41">
        <f t="shared" si="48"/>
        <v>0.12681200000000004</v>
      </c>
      <c r="L216" s="45">
        <v>259.70591144744424</v>
      </c>
      <c r="M216" s="44">
        <v>1.2</v>
      </c>
      <c r="N216" s="41">
        <v>0.929836</v>
      </c>
      <c r="O216" s="41">
        <f t="shared" si="49"/>
        <v>-0.27016399999999996</v>
      </c>
      <c r="P216" s="41">
        <f t="shared" si="50"/>
        <v>0.27016399999999996</v>
      </c>
    </row>
    <row r="217">
      <c r="A217">
        <v>1199</v>
      </c>
      <c r="B217">
        <v>2207115.7510000002</v>
      </c>
      <c r="C217">
        <v>6750283.659</v>
      </c>
      <c r="D217">
        <v>196.50399999999999</v>
      </c>
      <c r="E217">
        <v>797</v>
      </c>
      <c r="F217" s="45">
        <v>269.89991287017818</v>
      </c>
      <c r="G217" s="41">
        <v>0.26000000000000001</v>
      </c>
      <c r="H217" s="41">
        <v>0.14535999999999999</v>
      </c>
      <c r="I217" s="41">
        <f t="shared" si="47"/>
        <v>-0.11464000000000002</v>
      </c>
      <c r="J217" s="41">
        <f t="shared" si="48"/>
        <v>0.11464000000000002</v>
      </c>
      <c r="L217" s="45">
        <v>269.89991287017818</v>
      </c>
      <c r="M217" s="44">
        <v>0.62335200000000002</v>
      </c>
      <c r="N217" s="41">
        <v>0.15762899999999999</v>
      </c>
      <c r="O217" s="41">
        <f t="shared" si="49"/>
        <v>-0.465723</v>
      </c>
      <c r="P217" s="41">
        <f t="shared" si="50"/>
        <v>0.465723</v>
      </c>
    </row>
    <row r="218">
      <c r="A218" s="1" t="s">
        <v>58</v>
      </c>
      <c r="F218" s="45"/>
      <c r="L218" s="45"/>
      <c r="M218" s="44"/>
    </row>
    <row r="219">
      <c r="A219">
        <v>1200</v>
      </c>
      <c r="B219">
        <v>2207024.1299999999</v>
      </c>
      <c r="C219">
        <v>6750623.4179999996</v>
      </c>
      <c r="D219">
        <v>197.76599999999999</v>
      </c>
      <c r="E219">
        <v>797</v>
      </c>
      <c r="F219" s="45">
        <v>5.2110936470394202</v>
      </c>
      <c r="G219" s="41">
        <v>0.81999999999999995</v>
      </c>
      <c r="H219" s="41">
        <v>1.0441830000000001</v>
      </c>
      <c r="I219" s="41">
        <f t="shared" ref="I219:I230" si="51">H219-G219</f>
        <v>0.22418300000000013</v>
      </c>
      <c r="J219" s="41">
        <f t="shared" ref="J219:J230" si="52">ABS(I219)</f>
        <v>0.22418300000000013</v>
      </c>
      <c r="L219" s="45">
        <v>5.2110936470394202</v>
      </c>
      <c r="M219" s="44">
        <v>0.8530080000000001</v>
      </c>
      <c r="N219" s="41">
        <v>0.081467999999999999</v>
      </c>
      <c r="O219" s="41">
        <f t="shared" ref="O219:O230" si="53">N219-M219</f>
        <v>-0.77154000000000011</v>
      </c>
      <c r="P219" s="41">
        <f t="shared" ref="P219:P230" si="54">ABS(O219)</f>
        <v>0.77154000000000011</v>
      </c>
    </row>
    <row r="220">
      <c r="A220">
        <v>1201</v>
      </c>
      <c r="B220">
        <v>2207015.3319999999</v>
      </c>
      <c r="C220">
        <v>6750623.1679999996</v>
      </c>
      <c r="D220">
        <v>197.37</v>
      </c>
      <c r="E220">
        <v>797</v>
      </c>
      <c r="F220" s="45">
        <v>14.012644873905504</v>
      </c>
      <c r="G220" s="41">
        <v>1.76</v>
      </c>
      <c r="H220" s="41">
        <v>1.7049179999999999</v>
      </c>
      <c r="I220" s="41">
        <f t="shared" si="51"/>
        <v>-0.055082000000000075</v>
      </c>
      <c r="J220" s="41">
        <f t="shared" si="52"/>
        <v>0.055082000000000075</v>
      </c>
      <c r="L220" s="45">
        <v>14.012644873905504</v>
      </c>
      <c r="M220" s="44">
        <v>1.3999999999999999</v>
      </c>
      <c r="N220" s="41">
        <v>1.3913949999999999</v>
      </c>
      <c r="O220" s="41">
        <f t="shared" si="53"/>
        <v>-0.0086049999999999738</v>
      </c>
      <c r="P220" s="41">
        <f t="shared" si="54"/>
        <v>0.0086049999999999738</v>
      </c>
    </row>
    <row r="221">
      <c r="A221">
        <v>1202</v>
      </c>
      <c r="B221">
        <v>2207006.9900000002</v>
      </c>
      <c r="C221">
        <v>6750623.4450000003</v>
      </c>
      <c r="D221">
        <v>197.21100000000001</v>
      </c>
      <c r="E221">
        <v>797</v>
      </c>
      <c r="F221" s="45">
        <v>22.359242563719135</v>
      </c>
      <c r="G221" s="41">
        <v>1.9399999999999999</v>
      </c>
      <c r="H221" s="41">
        <v>2.1061969999999999</v>
      </c>
      <c r="I221" s="41">
        <f t="shared" si="51"/>
        <v>0.16619699999999993</v>
      </c>
      <c r="J221" s="41">
        <f t="shared" si="52"/>
        <v>0.16619699999999993</v>
      </c>
      <c r="L221" s="45">
        <v>22.359242563719135</v>
      </c>
      <c r="M221" s="44">
        <v>1.541976</v>
      </c>
      <c r="N221" s="41">
        <v>1.372571</v>
      </c>
      <c r="O221" s="41">
        <f t="shared" si="53"/>
        <v>-0.16940500000000003</v>
      </c>
      <c r="P221" s="41">
        <f t="shared" si="54"/>
        <v>0.16940500000000003</v>
      </c>
    </row>
    <row r="222">
      <c r="A222">
        <v>1203</v>
      </c>
      <c r="B222">
        <v>2206996.7149999999</v>
      </c>
      <c r="C222">
        <v>6750623.2230000002</v>
      </c>
      <c r="D222">
        <v>197.34200000000001</v>
      </c>
      <c r="E222">
        <v>797</v>
      </c>
      <c r="F222" s="45">
        <v>32.636640532450585</v>
      </c>
      <c r="G222" s="41">
        <v>2.0899999999999999</v>
      </c>
      <c r="H222" s="41">
        <v>2.3010790000000001</v>
      </c>
      <c r="I222" s="41">
        <f t="shared" si="51"/>
        <v>0.21107900000000024</v>
      </c>
      <c r="J222" s="41">
        <f t="shared" si="52"/>
        <v>0.21107900000000024</v>
      </c>
      <c r="L222" s="45">
        <v>32.636640532450585</v>
      </c>
      <c r="M222" s="44">
        <v>1.8</v>
      </c>
      <c r="N222" s="41">
        <v>1.2825249999999999</v>
      </c>
      <c r="O222" s="41">
        <f t="shared" si="53"/>
        <v>-0.51747500000000013</v>
      </c>
      <c r="P222" s="41">
        <f t="shared" si="54"/>
        <v>0.51747500000000013</v>
      </c>
    </row>
    <row r="223">
      <c r="A223">
        <v>1204</v>
      </c>
      <c r="B223">
        <v>2206987.4399999999</v>
      </c>
      <c r="C223">
        <v>6750623.3859999999</v>
      </c>
      <c r="D223">
        <v>197.04499999999999</v>
      </c>
      <c r="E223">
        <v>797</v>
      </c>
      <c r="F223" s="45">
        <v>41.913072712883839</v>
      </c>
      <c r="G223" s="41">
        <v>2.1699999999999999</v>
      </c>
      <c r="H223" s="41">
        <v>2.4005390000000002</v>
      </c>
      <c r="I223" s="41">
        <f t="shared" si="51"/>
        <v>0.23053900000000027</v>
      </c>
      <c r="J223" s="41">
        <f t="shared" si="52"/>
        <v>0.23053900000000027</v>
      </c>
      <c r="L223" s="45">
        <v>41.913072712883839</v>
      </c>
      <c r="M223" s="44">
        <v>1.541976</v>
      </c>
      <c r="N223" s="41">
        <v>1.175192</v>
      </c>
      <c r="O223" s="41">
        <f t="shared" si="53"/>
        <v>-0.366784</v>
      </c>
      <c r="P223" s="41">
        <f t="shared" si="54"/>
        <v>0.366784</v>
      </c>
    </row>
    <row r="224">
      <c r="A224">
        <v>1205</v>
      </c>
      <c r="B224">
        <v>2206976.432</v>
      </c>
      <c r="C224">
        <v>6750624.2939999998</v>
      </c>
      <c r="D224">
        <v>196.934</v>
      </c>
      <c r="E224">
        <v>797</v>
      </c>
      <c r="F224" s="45">
        <v>52.958457631382103</v>
      </c>
      <c r="G224" s="41">
        <v>2.4700000000000002</v>
      </c>
      <c r="H224" s="41">
        <v>2.5313699999999999</v>
      </c>
      <c r="I224" s="41">
        <f t="shared" si="51"/>
        <v>0.061369999999999703</v>
      </c>
      <c r="J224" s="41">
        <f t="shared" si="52"/>
        <v>0.061369999999999703</v>
      </c>
      <c r="L224" s="45">
        <v>52.958457631382103</v>
      </c>
      <c r="M224" s="44">
        <v>2.1000000000000001</v>
      </c>
      <c r="N224" s="41">
        <v>1.4995810000000001</v>
      </c>
      <c r="O224" s="41">
        <f t="shared" si="53"/>
        <v>-0.60041900000000004</v>
      </c>
      <c r="P224" s="41">
        <f t="shared" si="54"/>
        <v>0.60041900000000004</v>
      </c>
    </row>
    <row r="225">
      <c r="A225">
        <v>1206</v>
      </c>
      <c r="B225">
        <v>2206967.4350000001</v>
      </c>
      <c r="C225">
        <v>6750625.6830000002</v>
      </c>
      <c r="D225">
        <v>196.75399999999999</v>
      </c>
      <c r="E225">
        <v>797</v>
      </c>
      <c r="F225" s="45">
        <v>62.062046484176989</v>
      </c>
      <c r="G225" s="41">
        <v>2.3300000000000001</v>
      </c>
      <c r="H225" s="41">
        <v>2.728332</v>
      </c>
      <c r="I225" s="41">
        <f t="shared" si="51"/>
        <v>0.39833199999999991</v>
      </c>
      <c r="J225" s="41">
        <f t="shared" si="52"/>
        <v>0.39833199999999991</v>
      </c>
      <c r="L225" s="45">
        <v>62.062046484176989</v>
      </c>
      <c r="M225" s="44">
        <v>2.13252</v>
      </c>
      <c r="N225" s="41">
        <v>1.671468</v>
      </c>
      <c r="O225" s="41">
        <f t="shared" si="53"/>
        <v>-0.46105200000000002</v>
      </c>
      <c r="P225" s="41">
        <f t="shared" si="54"/>
        <v>0.46105200000000002</v>
      </c>
    </row>
    <row r="226">
      <c r="A226">
        <v>1207</v>
      </c>
      <c r="B226">
        <v>2206957.4929999998</v>
      </c>
      <c r="C226">
        <v>6750625.2390000001</v>
      </c>
      <c r="D226">
        <v>196.81899999999999</v>
      </c>
      <c r="E226">
        <v>797</v>
      </c>
      <c r="F226" s="45">
        <v>72.013955848993703</v>
      </c>
      <c r="G226" s="41">
        <v>2.6899999999999999</v>
      </c>
      <c r="H226" s="41">
        <v>2.8706670000000001</v>
      </c>
      <c r="I226" s="41">
        <f t="shared" si="51"/>
        <v>0.18066700000000013</v>
      </c>
      <c r="J226" s="41">
        <f t="shared" si="52"/>
        <v>0.18066700000000013</v>
      </c>
      <c r="L226" s="45">
        <v>72.013955848993703</v>
      </c>
      <c r="M226" s="44">
        <v>2.1000000000000001</v>
      </c>
      <c r="N226" s="41">
        <v>1.5018590000000001</v>
      </c>
      <c r="O226" s="41">
        <f t="shared" si="53"/>
        <v>-0.59814100000000003</v>
      </c>
      <c r="P226" s="41">
        <f t="shared" si="54"/>
        <v>0.59814100000000003</v>
      </c>
    </row>
    <row r="227">
      <c r="A227">
        <v>1208</v>
      </c>
      <c r="B227">
        <v>2206947.7760000001</v>
      </c>
      <c r="C227">
        <v>6750626.4539999999</v>
      </c>
      <c r="D227">
        <v>196.828</v>
      </c>
      <c r="E227">
        <v>797</v>
      </c>
      <c r="F227" s="45">
        <v>81.806622186312836</v>
      </c>
      <c r="G227" s="41">
        <v>2.0699999999999998</v>
      </c>
      <c r="H227" s="41">
        <v>2.7501910000000001</v>
      </c>
      <c r="I227" s="41">
        <f t="shared" si="51"/>
        <v>0.68019100000000021</v>
      </c>
      <c r="J227" s="41">
        <f t="shared" si="52"/>
        <v>0.68019100000000021</v>
      </c>
      <c r="L227" s="45">
        <v>81.806622186312836</v>
      </c>
      <c r="M227" s="44">
        <v>2.0012880000000002</v>
      </c>
      <c r="N227" s="41">
        <v>1.174706</v>
      </c>
      <c r="O227" s="41">
        <f t="shared" si="53"/>
        <v>-0.82658200000000015</v>
      </c>
      <c r="P227" s="41">
        <f t="shared" si="54"/>
        <v>0.82658200000000015</v>
      </c>
    </row>
    <row r="228">
      <c r="A228">
        <v>1209</v>
      </c>
      <c r="B228">
        <v>2206937.287</v>
      </c>
      <c r="C228">
        <v>6750627.2410000004</v>
      </c>
      <c r="D228">
        <v>197.40700000000001</v>
      </c>
      <c r="E228">
        <v>797</v>
      </c>
      <c r="F228" s="45">
        <v>92.325105442086979</v>
      </c>
      <c r="G228" s="41">
        <v>1.71</v>
      </c>
      <c r="H228" s="41">
        <v>2.523828</v>
      </c>
      <c r="I228" s="41">
        <f t="shared" si="51"/>
        <v>0.813828</v>
      </c>
      <c r="J228" s="41">
        <f t="shared" si="52"/>
        <v>0.813828</v>
      </c>
      <c r="L228" s="45">
        <v>92.325105442086979</v>
      </c>
      <c r="M228" s="44">
        <v>1.1000000000000001</v>
      </c>
      <c r="N228" s="41">
        <v>0.91530999999999996</v>
      </c>
      <c r="O228" s="41">
        <f t="shared" si="53"/>
        <v>-0.18469000000000013</v>
      </c>
      <c r="P228" s="41">
        <f t="shared" si="54"/>
        <v>0.18469000000000013</v>
      </c>
    </row>
    <row r="229">
      <c r="A229">
        <v>1210</v>
      </c>
      <c r="B229">
        <v>2206926.5460000001</v>
      </c>
      <c r="C229">
        <v>6750627.568</v>
      </c>
      <c r="D229">
        <v>197.75200000000001</v>
      </c>
      <c r="E229">
        <v>797</v>
      </c>
      <c r="F229" s="45">
        <v>103.07108189832616</v>
      </c>
      <c r="G229" s="41">
        <v>2.1499999999999999</v>
      </c>
      <c r="H229" s="41">
        <v>2.3107220000000002</v>
      </c>
      <c r="I229" s="41">
        <f t="shared" si="51"/>
        <v>0.16072200000000025</v>
      </c>
      <c r="J229" s="41">
        <f t="shared" si="52"/>
        <v>0.16072200000000025</v>
      </c>
      <c r="L229" s="45">
        <v>103.07108189832616</v>
      </c>
      <c r="M229" s="44">
        <v>0.80000000000000004</v>
      </c>
      <c r="N229" s="41">
        <v>0.69650299999999998</v>
      </c>
      <c r="O229" s="41">
        <f t="shared" si="53"/>
        <v>-0.10349700000000006</v>
      </c>
      <c r="P229" s="41">
        <f t="shared" si="54"/>
        <v>0.10349700000000006</v>
      </c>
    </row>
    <row r="230">
      <c r="A230">
        <v>1211</v>
      </c>
      <c r="B230">
        <v>2206913.1719999998</v>
      </c>
      <c r="C230">
        <v>6750628.4119999995</v>
      </c>
      <c r="D230">
        <v>198.42500000000001</v>
      </c>
      <c r="E230">
        <v>797</v>
      </c>
      <c r="F230" s="45">
        <v>116.47168681032002</v>
      </c>
      <c r="G230" s="41">
        <v>0.23000000000000001</v>
      </c>
      <c r="H230" s="41">
        <v>2.233616</v>
      </c>
      <c r="I230" s="41">
        <f t="shared" si="51"/>
        <v>2.0036160000000001</v>
      </c>
      <c r="J230" s="41">
        <f t="shared" si="52"/>
        <v>2.0036160000000001</v>
      </c>
      <c r="L230" s="45">
        <v>116.47168681032002</v>
      </c>
      <c r="M230" s="44">
        <v>0.39369599999999999</v>
      </c>
      <c r="N230" s="41">
        <v>0.402169</v>
      </c>
      <c r="O230" s="41">
        <f t="shared" si="53"/>
        <v>0.0084730000000000083</v>
      </c>
      <c r="P230" s="41">
        <f t="shared" si="54"/>
        <v>0.0084730000000000083</v>
      </c>
    </row>
    <row r="231">
      <c r="A231" s="1" t="s">
        <v>59</v>
      </c>
      <c r="F231" s="45"/>
      <c r="L231" s="45"/>
      <c r="M231" s="44"/>
    </row>
    <row r="232">
      <c r="A232">
        <v>1212</v>
      </c>
      <c r="B232">
        <v>2207094.8539999998</v>
      </c>
      <c r="C232">
        <v>6749999.7369999997</v>
      </c>
      <c r="D232">
        <v>195.15799999999999</v>
      </c>
      <c r="E232">
        <v>797</v>
      </c>
      <c r="F232" s="45">
        <v>3.0345220382473959</v>
      </c>
      <c r="G232" s="41">
        <v>1.54</v>
      </c>
      <c r="H232" s="41">
        <v>0.29199999999999998</v>
      </c>
      <c r="I232" s="41">
        <f t="shared" ref="I232:I238" si="55">H232-G232</f>
        <v>-1.248</v>
      </c>
      <c r="J232" s="41">
        <f t="shared" ref="J232:J238" si="56">ABS(I232)</f>
        <v>1.248</v>
      </c>
      <c r="L232" s="45">
        <v>3.0345220382473959</v>
      </c>
      <c r="M232" s="44">
        <v>0.49212</v>
      </c>
      <c r="N232" s="41">
        <v>0</v>
      </c>
      <c r="O232" s="41">
        <f t="shared" ref="O232:O238" si="57">N232-M232</f>
        <v>-0.49212</v>
      </c>
      <c r="P232" s="41">
        <f t="shared" ref="P232:P238" si="58">ABS(O232)</f>
        <v>0.49212</v>
      </c>
    </row>
    <row r="233">
      <c r="A233">
        <v>1213</v>
      </c>
      <c r="B233">
        <v>2207086.3500000001</v>
      </c>
      <c r="C233">
        <v>6749997.5259999996</v>
      </c>
      <c r="D233">
        <v>194.613</v>
      </c>
      <c r="E233">
        <v>797</v>
      </c>
      <c r="F233" s="45">
        <v>11.821247082077518</v>
      </c>
      <c r="G233" s="41">
        <v>3.77</v>
      </c>
      <c r="H233" s="41">
        <v>0.71262599999999998</v>
      </c>
      <c r="I233" s="41">
        <f t="shared" si="55"/>
        <v>-3.0573740000000003</v>
      </c>
      <c r="J233" s="41">
        <f t="shared" si="56"/>
        <v>3.0573740000000003</v>
      </c>
      <c r="L233" s="45">
        <v>11.821247082077518</v>
      </c>
      <c r="M233" s="44">
        <v>1.3999999999999999</v>
      </c>
      <c r="N233" s="41">
        <v>1.1593070000000001</v>
      </c>
      <c r="O233" s="41">
        <f t="shared" si="57"/>
        <v>-0.24069299999999982</v>
      </c>
      <c r="P233" s="41">
        <f t="shared" si="58"/>
        <v>0.24069299999999982</v>
      </c>
    </row>
    <row r="234">
      <c r="A234">
        <v>1214</v>
      </c>
      <c r="B234">
        <v>2207075.2140000002</v>
      </c>
      <c r="C234">
        <v>6749994.7549999999</v>
      </c>
      <c r="D234">
        <v>193.708</v>
      </c>
      <c r="E234">
        <v>797</v>
      </c>
      <c r="F234" s="45">
        <v>23.296827110864882</v>
      </c>
      <c r="G234" s="41">
        <v>4.46</v>
      </c>
      <c r="H234" s="41">
        <v>4.4756299999999998</v>
      </c>
      <c r="I234" s="41">
        <f t="shared" si="55"/>
        <v>0.015629999999999811</v>
      </c>
      <c r="J234" s="41">
        <f t="shared" si="56"/>
        <v>0.015629999999999811</v>
      </c>
      <c r="L234" s="45">
        <v>23.296827110864882</v>
      </c>
      <c r="M234" s="44">
        <v>2.3621759999999998</v>
      </c>
      <c r="N234" s="41">
        <v>1.30132</v>
      </c>
      <c r="O234" s="41">
        <f t="shared" si="57"/>
        <v>-1.0608559999999998</v>
      </c>
      <c r="P234" s="41">
        <f t="shared" si="58"/>
        <v>1.0608559999999998</v>
      </c>
    </row>
    <row r="235">
      <c r="A235">
        <v>1215</v>
      </c>
      <c r="B235">
        <v>2207064.4029999999</v>
      </c>
      <c r="C235">
        <v>6749991.9060000004</v>
      </c>
      <c r="D235">
        <v>194.339</v>
      </c>
      <c r="E235">
        <v>797</v>
      </c>
      <c r="F235" s="45">
        <v>34.476922012147952</v>
      </c>
      <c r="G235" s="41">
        <v>4.1500000000000004</v>
      </c>
      <c r="H235" s="41">
        <v>4.9629669999999999</v>
      </c>
      <c r="I235" s="41">
        <f t="shared" si="55"/>
        <v>0.81296699999999955</v>
      </c>
      <c r="J235" s="41">
        <f t="shared" si="56"/>
        <v>0.81296699999999955</v>
      </c>
      <c r="L235" s="45">
        <v>34.476922012147952</v>
      </c>
      <c r="M235" s="44">
        <v>1.6000000000000001</v>
      </c>
      <c r="N235" s="41">
        <v>1.5510139999999999</v>
      </c>
      <c r="O235" s="41">
        <f t="shared" si="57"/>
        <v>-0.048986000000000196</v>
      </c>
      <c r="P235" s="41">
        <f t="shared" si="58"/>
        <v>0.048986000000000196</v>
      </c>
    </row>
    <row r="236">
      <c r="A236">
        <v>1216</v>
      </c>
      <c r="B236">
        <v>2207054.2039999999</v>
      </c>
      <c r="C236">
        <v>6749989.5760000004</v>
      </c>
      <c r="D236">
        <v>194.27199999999999</v>
      </c>
      <c r="E236">
        <v>797</v>
      </c>
      <c r="F236" s="45">
        <v>44.93868577361777</v>
      </c>
      <c r="G236" s="41">
        <v>3.2200000000000002</v>
      </c>
      <c r="H236" s="41">
        <v>4.7295160000000003</v>
      </c>
      <c r="I236" s="41">
        <f t="shared" si="55"/>
        <v>1.5095160000000001</v>
      </c>
      <c r="J236" s="41">
        <f t="shared" si="56"/>
        <v>1.5095160000000001</v>
      </c>
      <c r="L236" s="45">
        <v>44.93868577361777</v>
      </c>
      <c r="M236" s="44">
        <v>1.8044400000000003</v>
      </c>
      <c r="N236" s="41">
        <v>1.4934810000000001</v>
      </c>
      <c r="O236" s="41">
        <f t="shared" si="57"/>
        <v>-0.31095900000000021</v>
      </c>
      <c r="P236" s="41">
        <f t="shared" si="58"/>
        <v>0.31095900000000021</v>
      </c>
    </row>
    <row r="237">
      <c r="A237">
        <v>1217</v>
      </c>
      <c r="B237">
        <v>2207044.3900000001</v>
      </c>
      <c r="C237">
        <v>6749987.7740000002</v>
      </c>
      <c r="D237">
        <v>194.298</v>
      </c>
      <c r="E237">
        <v>797</v>
      </c>
      <c r="F237" s="45">
        <v>54.916751718288417</v>
      </c>
      <c r="G237" s="41">
        <v>3.4500000000000002</v>
      </c>
      <c r="H237" s="41">
        <v>4.4146159999999997</v>
      </c>
      <c r="I237" s="41">
        <f t="shared" si="55"/>
        <v>0.96461599999999947</v>
      </c>
      <c r="J237" s="41">
        <f t="shared" si="56"/>
        <v>0.96461599999999947</v>
      </c>
      <c r="L237" s="45">
        <v>54.916751718288417</v>
      </c>
      <c r="M237" s="44">
        <v>1.5</v>
      </c>
      <c r="N237" s="41">
        <v>1.3439840000000001</v>
      </c>
      <c r="O237" s="41">
        <f t="shared" si="57"/>
        <v>-0.15601599999999993</v>
      </c>
      <c r="P237" s="41">
        <f t="shared" si="58"/>
        <v>0.15601599999999993</v>
      </c>
    </row>
    <row r="238">
      <c r="A238">
        <v>1218</v>
      </c>
      <c r="B238">
        <v>2207035.4029999999</v>
      </c>
      <c r="C238">
        <v>6749986.3370000003</v>
      </c>
      <c r="D238">
        <v>194.10599999999999</v>
      </c>
      <c r="E238">
        <v>797</v>
      </c>
      <c r="F238" s="45">
        <v>64.017913072935045</v>
      </c>
      <c r="G238" s="41">
        <v>4</v>
      </c>
      <c r="H238" s="41">
        <v>4.3146120000000003</v>
      </c>
      <c r="I238" s="41">
        <f t="shared" si="55"/>
        <v>0.31461200000000034</v>
      </c>
      <c r="J238" s="41">
        <f t="shared" si="56"/>
        <v>0.31461200000000034</v>
      </c>
      <c r="L238" s="45">
        <v>64.017913072935045</v>
      </c>
      <c r="M238" s="44">
        <v>1.8044400000000003</v>
      </c>
      <c r="N238" s="41">
        <v>1.6990350000000001</v>
      </c>
      <c r="O238" s="41">
        <f t="shared" si="57"/>
        <v>-0.10540500000000019</v>
      </c>
      <c r="P238" s="41">
        <f t="shared" si="58"/>
        <v>0.10540500000000019</v>
      </c>
    </row>
  </sheetData>
  <mergeCells count="2">
    <mergeCell ref="G2:J2"/>
    <mergeCell ref="M2:P2"/>
  </mergeCells>
  <pageMargins left="0.69999999999999996" right="0.69999999999999996" top="0.75" bottom="0.75" header="0.29999999999999999" footer="0.2999999999999999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>
      <selection activeCell="R5" sqref="R5"/>
    </sheetView>
  </sheetViews>
  <sheetFormatPr defaultRowHeight="15"/>
  <cols>
    <col bestFit="1" customWidth="1" min="2" max="3" width="12"/>
    <col customWidth="1" min="4" max="4" width="13.28515625"/>
    <col customWidth="1" min="5" max="5" width="11.28515625"/>
    <col customWidth="1" min="6" max="6" style="55" width="11.28515625"/>
    <col bestFit="1" customWidth="1" min="7" max="7" width="11.85546875"/>
    <col customWidth="1" min="8" max="8" width="11.85546875"/>
    <col customWidth="1" min="9" max="9" width="16.85546875"/>
    <col customWidth="1" min="10" max="10" width="11.85546875"/>
    <col customWidth="1" min="11" max="11" style="53" width="1.140625"/>
    <col customWidth="1" min="12" max="12" width="11.28515625"/>
    <col customWidth="1" min="13" max="13" width="13.5703125"/>
    <col customWidth="1" min="14" max="14" width="14.140625"/>
    <col customWidth="1" min="15" max="15" width="16.85546875"/>
    <col customWidth="1" min="16" max="16" width="14.140625"/>
    <col customWidth="1" min="17" max="17" width="2.42578125"/>
  </cols>
  <sheetData>
    <row r="2">
      <c r="F2" s="79" t="s">
        <v>99</v>
      </c>
      <c r="G2" s="79"/>
      <c r="H2" s="79"/>
      <c r="I2" s="79"/>
      <c r="J2" s="79"/>
      <c r="L2" s="79" t="s">
        <v>104</v>
      </c>
      <c r="M2" s="79"/>
      <c r="N2" s="79"/>
      <c r="O2" s="79"/>
      <c r="P2" s="79"/>
    </row>
    <row r="3" ht="30">
      <c r="A3" s="4" t="s">
        <v>0</v>
      </c>
      <c r="B3" s="4" t="s">
        <v>1</v>
      </c>
      <c r="C3" s="4" t="s">
        <v>2</v>
      </c>
      <c r="D3" s="4" t="s">
        <v>3</v>
      </c>
      <c r="E3" s="4" t="s">
        <v>5</v>
      </c>
      <c r="F3" s="56" t="s">
        <v>121</v>
      </c>
      <c r="G3" s="4" t="s">
        <v>122</v>
      </c>
      <c r="H3" s="4" t="s">
        <v>123</v>
      </c>
      <c r="I3" s="4" t="s">
        <v>124</v>
      </c>
      <c r="J3" s="4" t="s">
        <v>125</v>
      </c>
      <c r="L3" s="7" t="s">
        <v>121</v>
      </c>
      <c r="M3" s="4" t="s">
        <v>126</v>
      </c>
      <c r="N3" s="4" t="s">
        <v>127</v>
      </c>
      <c r="O3" s="4" t="s">
        <v>128</v>
      </c>
      <c r="P3" s="4" t="s">
        <v>129</v>
      </c>
    </row>
    <row r="4">
      <c r="A4" s="33" t="s">
        <v>97</v>
      </c>
      <c r="B4" s="4"/>
      <c r="C4" s="4"/>
      <c r="D4" s="4"/>
      <c r="E4" s="4"/>
      <c r="F4" s="57"/>
      <c r="G4" s="4"/>
      <c r="H4" s="4"/>
      <c r="I4" s="4"/>
      <c r="J4" s="4"/>
    </row>
    <row r="5">
      <c r="A5">
        <v>1000</v>
      </c>
      <c r="B5">
        <v>2204126.0989999999</v>
      </c>
      <c r="C5">
        <v>6720658.3700000001</v>
      </c>
      <c r="D5">
        <v>127.3</v>
      </c>
      <c r="E5">
        <v>795</v>
      </c>
      <c r="F5" s="58">
        <v>4.5793881636012026</v>
      </c>
      <c r="G5" s="34">
        <v>0.21945600000000001</v>
      </c>
      <c r="H5" s="34">
        <v>0.38803783200000003</v>
      </c>
      <c r="I5" s="34">
        <v>0.16858183200000004</v>
      </c>
      <c r="J5" s="34">
        <v>0.16858183200000004</v>
      </c>
      <c r="L5" s="34">
        <v>4.5793881636012026</v>
      </c>
      <c r="M5" s="34">
        <v>0.14999817600000001</v>
      </c>
      <c r="N5" s="34">
        <v>0.141794484</v>
      </c>
      <c r="O5" s="34">
        <v>-0.0082036920000000072</v>
      </c>
      <c r="P5" s="34">
        <v>0.0082036920000000072</v>
      </c>
      <c r="R5" s="34"/>
    </row>
    <row r="6">
      <c r="A6">
        <v>1001</v>
      </c>
      <c r="B6">
        <v>2204119.3300000001</v>
      </c>
      <c r="C6">
        <v>6720666.676</v>
      </c>
      <c r="D6">
        <v>127.28400000000001</v>
      </c>
      <c r="E6">
        <v>795</v>
      </c>
      <c r="F6" s="58">
        <v>7.8452884744283988</v>
      </c>
      <c r="G6" s="34">
        <v>0.38100000000000001</v>
      </c>
      <c r="H6" s="34">
        <v>0.5479295112</v>
      </c>
      <c r="I6" s="34">
        <v>0.16692951119999999</v>
      </c>
      <c r="J6" s="34">
        <v>0.16692951119999999</v>
      </c>
      <c r="L6" s="34">
        <v>7.8452884744283988</v>
      </c>
      <c r="M6" s="34">
        <v>0.21999732480000003</v>
      </c>
      <c r="N6" s="34">
        <v>0.2740581768</v>
      </c>
      <c r="O6" s="34">
        <v>0.054060851999999965</v>
      </c>
      <c r="P6" s="34">
        <v>0.054060851999999965</v>
      </c>
    </row>
    <row r="7">
      <c r="A7">
        <v>1002</v>
      </c>
      <c r="B7">
        <v>2204112.7119999998</v>
      </c>
      <c r="C7">
        <v>6720672.96</v>
      </c>
      <c r="D7">
        <v>126.76900000000001</v>
      </c>
      <c r="E7">
        <v>795</v>
      </c>
      <c r="F7" s="58">
        <v>10.626938429669481</v>
      </c>
      <c r="G7" s="34">
        <v>0.41148000000000007</v>
      </c>
      <c r="H7" s="34">
        <v>0.64235868480000002</v>
      </c>
      <c r="I7" s="34">
        <v>0.23087868480000001</v>
      </c>
      <c r="J7" s="34">
        <v>0.23087868480000001</v>
      </c>
      <c r="L7" s="34">
        <v>10.626938429669481</v>
      </c>
      <c r="M7" s="34">
        <v>0.32999598720000006</v>
      </c>
      <c r="N7" s="34">
        <v>0.32754844320000004</v>
      </c>
      <c r="O7" s="34">
        <v>-0.0024475439999999946</v>
      </c>
      <c r="P7" s="34">
        <v>0.0024475439999999946</v>
      </c>
    </row>
    <row r="8">
      <c r="A8">
        <v>1003</v>
      </c>
      <c r="B8">
        <v>2204105.5589999999</v>
      </c>
      <c r="C8">
        <v>6720680.3119999999</v>
      </c>
      <c r="D8">
        <v>126.88500000000001</v>
      </c>
      <c r="E8">
        <v>795</v>
      </c>
      <c r="F8" s="58">
        <v>13.753439387318677</v>
      </c>
      <c r="G8" s="34">
        <v>0.521208</v>
      </c>
      <c r="H8" s="34">
        <v>0.68435006639999996</v>
      </c>
      <c r="I8" s="34">
        <v>0.16314206639999998</v>
      </c>
      <c r="J8" s="34">
        <v>0.16314206639999998</v>
      </c>
      <c r="L8" s="34">
        <v>13.753439387318677</v>
      </c>
      <c r="M8" s="34">
        <v>0.33499592640000009</v>
      </c>
      <c r="N8" s="34">
        <v>0.38953196160000003</v>
      </c>
      <c r="O8" s="34">
        <v>0.054536035199999958</v>
      </c>
      <c r="P8" s="34">
        <v>0.054536035199999958</v>
      </c>
    </row>
    <row r="9">
      <c r="A9">
        <v>1004</v>
      </c>
      <c r="B9">
        <v>2204099.7820000001</v>
      </c>
      <c r="C9">
        <v>6720687.574</v>
      </c>
      <c r="D9">
        <v>126.786</v>
      </c>
      <c r="E9">
        <v>795</v>
      </c>
      <c r="F9" s="58">
        <v>16.581851561512309</v>
      </c>
      <c r="G9" s="34">
        <v>0.54864000000000002</v>
      </c>
      <c r="H9" s="34">
        <v>0.70399686480000001</v>
      </c>
      <c r="I9" s="34">
        <v>0.15535686479999999</v>
      </c>
      <c r="J9" s="34">
        <v>0.15535686479999999</v>
      </c>
      <c r="L9" s="34">
        <v>16.581851561512309</v>
      </c>
      <c r="M9" s="34">
        <v>0.33999586560000011</v>
      </c>
      <c r="N9" s="34">
        <v>0.43332897840000001</v>
      </c>
      <c r="O9" s="34">
        <v>0.093333112799999937</v>
      </c>
      <c r="P9" s="34">
        <v>0.093333112799999937</v>
      </c>
    </row>
    <row r="10">
      <c r="A10">
        <v>1005</v>
      </c>
      <c r="B10">
        <v>2204093.5690000001</v>
      </c>
      <c r="C10">
        <v>6720695.3130000001</v>
      </c>
      <c r="D10">
        <v>126.31399999999999</v>
      </c>
      <c r="E10">
        <v>795</v>
      </c>
      <c r="F10" s="58">
        <v>19.606805220873454</v>
      </c>
      <c r="G10" s="34">
        <v>0.60960000000000003</v>
      </c>
      <c r="H10" s="34">
        <v>0.70495027919999997</v>
      </c>
      <c r="I10" s="34">
        <v>0.095350279199999943</v>
      </c>
      <c r="J10" s="34">
        <v>0.095350279199999943</v>
      </c>
      <c r="L10" s="34">
        <v>19.606805220873454</v>
      </c>
      <c r="M10" s="34">
        <v>0.44999452800000006</v>
      </c>
      <c r="N10" s="34">
        <v>0.50488047359999999</v>
      </c>
      <c r="O10" s="34">
        <v>0.054885945599999937</v>
      </c>
      <c r="P10" s="34">
        <v>0.054885945599999937</v>
      </c>
    </row>
    <row r="11">
      <c r="A11">
        <v>1006</v>
      </c>
      <c r="B11">
        <v>2204087.3429999999</v>
      </c>
      <c r="C11">
        <v>6720702.3420000002</v>
      </c>
      <c r="D11">
        <v>126.256</v>
      </c>
      <c r="E11">
        <v>795</v>
      </c>
      <c r="F11" s="58">
        <v>22.468841790568458</v>
      </c>
      <c r="G11" s="34">
        <v>0.60045599999999999</v>
      </c>
      <c r="H11" s="34">
        <v>0.70998496560000002</v>
      </c>
      <c r="I11" s="34">
        <v>0.10952896559999996</v>
      </c>
      <c r="J11" s="34">
        <v>0.10952896559999996</v>
      </c>
      <c r="L11" s="34">
        <v>22.468841790568458</v>
      </c>
      <c r="M11" s="34">
        <v>0.51999367680000008</v>
      </c>
      <c r="N11" s="34">
        <v>0.52661972400000001</v>
      </c>
      <c r="O11" s="34">
        <v>0.006626047199999918</v>
      </c>
      <c r="P11" s="34">
        <v>0.006626047199999918</v>
      </c>
    </row>
    <row r="12">
      <c r="A12">
        <v>1007</v>
      </c>
      <c r="B12">
        <v>2204081.27</v>
      </c>
      <c r="C12">
        <v>6720708.8480000002</v>
      </c>
      <c r="D12">
        <v>126.21899999999999</v>
      </c>
      <c r="E12">
        <v>795</v>
      </c>
      <c r="F12" s="58">
        <v>25.181550917045701</v>
      </c>
      <c r="G12" s="34">
        <v>0.67056000000000004</v>
      </c>
      <c r="H12" s="34">
        <v>0.71472308160000009</v>
      </c>
      <c r="I12" s="34">
        <v>0.044163081600000008</v>
      </c>
      <c r="J12" s="34">
        <v>0.044163081600000008</v>
      </c>
      <c r="L12" s="34">
        <v>25.181550917045701</v>
      </c>
      <c r="M12" s="34">
        <v>0.51999367680000008</v>
      </c>
      <c r="N12" s="34">
        <v>0.54624640560000004</v>
      </c>
      <c r="O12" s="34">
        <v>0.02625272879999992</v>
      </c>
      <c r="P12" s="34">
        <v>0.02625272879999992</v>
      </c>
    </row>
    <row r="13">
      <c r="A13">
        <v>1008</v>
      </c>
      <c r="B13">
        <v>2204075.449</v>
      </c>
      <c r="C13">
        <v>6720715.6050000004</v>
      </c>
      <c r="D13">
        <v>126.057</v>
      </c>
      <c r="E13">
        <v>795</v>
      </c>
      <c r="F13" s="58">
        <v>27.899934456243368</v>
      </c>
      <c r="G13" s="34">
        <v>0.65532000000000001</v>
      </c>
      <c r="H13" s="34">
        <v>0.72222238080000001</v>
      </c>
      <c r="I13" s="34">
        <v>0.06690238079999998</v>
      </c>
      <c r="J13" s="34">
        <v>0.06690238079999998</v>
      </c>
      <c r="L13" s="34">
        <v>27.899934456243368</v>
      </c>
      <c r="M13" s="34">
        <v>0.51816000000000006</v>
      </c>
      <c r="N13" s="34">
        <v>0.62468455200000006</v>
      </c>
      <c r="O13" s="34">
        <v>0.10652455200000002</v>
      </c>
      <c r="P13" s="34">
        <v>0.10652455200000002</v>
      </c>
    </row>
    <row r="14">
      <c r="A14">
        <v>1009</v>
      </c>
      <c r="B14">
        <v>2204068.9380000001</v>
      </c>
      <c r="C14">
        <v>6720722.2529999996</v>
      </c>
      <c r="D14">
        <v>125.932</v>
      </c>
      <c r="E14">
        <v>795</v>
      </c>
      <c r="F14" s="58">
        <v>30.736196724082632</v>
      </c>
      <c r="G14" s="34">
        <v>0.71932799999999997</v>
      </c>
      <c r="H14" s="34">
        <v>0.73690916880000001</v>
      </c>
      <c r="I14" s="34">
        <v>0.017581168800000029</v>
      </c>
      <c r="J14" s="34">
        <v>0.017581168800000029</v>
      </c>
      <c r="L14" s="34">
        <v>30.736196724082632</v>
      </c>
      <c r="M14" s="34">
        <v>0.61999246080000003</v>
      </c>
      <c r="N14" s="34">
        <v>0.75220067999999995</v>
      </c>
      <c r="O14" s="34">
        <v>0.1322082192</v>
      </c>
      <c r="P14" s="34">
        <v>0.1322082192</v>
      </c>
    </row>
    <row r="15">
      <c r="A15">
        <v>1010</v>
      </c>
      <c r="B15">
        <v>2204061.952</v>
      </c>
      <c r="C15">
        <v>6720728.8449999997</v>
      </c>
      <c r="D15">
        <v>125.73999999999999</v>
      </c>
      <c r="E15">
        <v>795</v>
      </c>
      <c r="F15" s="58">
        <v>33.663842532678494</v>
      </c>
      <c r="G15" s="34">
        <v>0.83515200000000012</v>
      </c>
      <c r="H15" s="34">
        <v>0.7533933624000001</v>
      </c>
      <c r="I15" s="34">
        <v>-0.081758637600000017</v>
      </c>
      <c r="J15" s="34">
        <v>0.081758637600000017</v>
      </c>
      <c r="L15" s="34">
        <v>33.663842532678494</v>
      </c>
      <c r="M15" s="34">
        <v>0.67056000000000004</v>
      </c>
      <c r="N15" s="34">
        <v>0.71893236960000007</v>
      </c>
      <c r="O15" s="34">
        <v>0.048372369599999972</v>
      </c>
      <c r="P15" s="34">
        <v>0.048372369599999972</v>
      </c>
    </row>
    <row r="16">
      <c r="A16">
        <v>1011</v>
      </c>
      <c r="B16">
        <v>2204055.9339999999</v>
      </c>
      <c r="C16">
        <v>6720736.2829999998</v>
      </c>
      <c r="D16">
        <v>125.64100000000001</v>
      </c>
      <c r="E16">
        <v>795</v>
      </c>
      <c r="F16" s="58">
        <v>36.580066099142314</v>
      </c>
      <c r="G16" s="34">
        <v>0.81991199999999997</v>
      </c>
      <c r="H16" s="34">
        <v>0.76888512720000002</v>
      </c>
      <c r="I16" s="34">
        <v>-0.051026872799999998</v>
      </c>
      <c r="J16" s="34">
        <v>0.051026872799999998</v>
      </c>
      <c r="L16" s="34">
        <v>36.580066099142314</v>
      </c>
      <c r="M16" s="34">
        <v>0.699991488</v>
      </c>
      <c r="N16" s="34">
        <v>0.889476504</v>
      </c>
      <c r="O16" s="34">
        <v>0.18948501600000001</v>
      </c>
      <c r="P16" s="34">
        <v>0.18948501600000001</v>
      </c>
    </row>
    <row r="17">
      <c r="A17">
        <v>1012</v>
      </c>
      <c r="B17">
        <v>2204049.2259999998</v>
      </c>
      <c r="C17">
        <v>6720742.79</v>
      </c>
      <c r="D17">
        <v>125.376</v>
      </c>
      <c r="E17">
        <v>795</v>
      </c>
      <c r="F17" s="58">
        <v>39.428573565616311</v>
      </c>
      <c r="G17" s="34">
        <v>0.79857600000000006</v>
      </c>
      <c r="H17" s="34">
        <v>0.80436049440000001</v>
      </c>
      <c r="I17" s="34">
        <v>0.0057844943999999145</v>
      </c>
      <c r="J17" s="34">
        <v>0.0057844943999999145</v>
      </c>
      <c r="L17" s="34">
        <v>39.428573565616311</v>
      </c>
      <c r="M17" s="34">
        <v>0.78999039360000012</v>
      </c>
      <c r="N17" s="34">
        <v>1.0095027816</v>
      </c>
      <c r="O17" s="34">
        <v>0.21951238799999997</v>
      </c>
      <c r="P17" s="34">
        <v>0.21951238799999997</v>
      </c>
    </row>
    <row r="18">
      <c r="A18">
        <v>1013</v>
      </c>
      <c r="B18">
        <v>2204041.8870000001</v>
      </c>
      <c r="C18">
        <v>6720750.2460000003</v>
      </c>
      <c r="D18">
        <v>125.154</v>
      </c>
      <c r="E18">
        <v>795</v>
      </c>
      <c r="F18" s="58">
        <v>42.617382614758142</v>
      </c>
      <c r="G18" s="34">
        <v>0.89916000000000007</v>
      </c>
      <c r="H18" s="34">
        <v>0.8112767112</v>
      </c>
      <c r="I18" s="34">
        <v>-0.087883288800000112</v>
      </c>
      <c r="J18" s="34">
        <v>0.087883288800000112</v>
      </c>
      <c r="L18" s="34">
        <v>42.617382614758142</v>
      </c>
      <c r="M18" s="34">
        <v>0.83998978560000004</v>
      </c>
      <c r="N18" s="34">
        <v>0.90818817600000012</v>
      </c>
      <c r="O18" s="34">
        <v>0.068198390400000017</v>
      </c>
      <c r="P18" s="34">
        <v>0.068198390400000017</v>
      </c>
    </row>
    <row r="19">
      <c r="A19">
        <v>1014</v>
      </c>
      <c r="B19">
        <v>2204034.375</v>
      </c>
      <c r="C19">
        <v>6720758.1550000003</v>
      </c>
      <c r="D19">
        <v>125.13</v>
      </c>
      <c r="E19">
        <v>795</v>
      </c>
      <c r="F19" s="58">
        <v>45.942112526975933</v>
      </c>
      <c r="G19" s="34">
        <v>0.88696800000000009</v>
      </c>
      <c r="H19" s="34">
        <v>0.78345578640000013</v>
      </c>
      <c r="I19" s="34">
        <v>-0.1035122136</v>
      </c>
      <c r="J19" s="34">
        <v>0.1035122136</v>
      </c>
      <c r="L19" s="34">
        <v>45.942112526975933</v>
      </c>
      <c r="M19" s="34">
        <v>0.82296000000000014</v>
      </c>
      <c r="N19" s="34">
        <v>0.89102305920000002</v>
      </c>
      <c r="O19" s="34">
        <v>0.068063059199999915</v>
      </c>
      <c r="P19" s="34">
        <v>0.068063059199999915</v>
      </c>
    </row>
    <row r="20">
      <c r="A20">
        <v>1015</v>
      </c>
      <c r="B20">
        <v>2204026.858</v>
      </c>
      <c r="C20">
        <v>6720766.7659999998</v>
      </c>
      <c r="D20">
        <v>125.53100000000001</v>
      </c>
      <c r="E20">
        <v>795</v>
      </c>
      <c r="F20" s="58">
        <v>49.42610599113636</v>
      </c>
      <c r="G20" s="34">
        <v>0.77114399999999994</v>
      </c>
      <c r="H20" s="34">
        <v>0.6967042200000001</v>
      </c>
      <c r="I20" s="34">
        <v>-0.074439779999999914</v>
      </c>
      <c r="J20" s="34">
        <v>0.074439779999999914</v>
      </c>
      <c r="L20" s="34">
        <v>49.42610599113636</v>
      </c>
      <c r="M20" s="34">
        <v>0.72999112320000004</v>
      </c>
      <c r="N20" s="34">
        <v>0.69959433360000001</v>
      </c>
      <c r="O20" s="34">
        <v>-0.03039678960000004</v>
      </c>
      <c r="P20" s="34">
        <v>0.03039678960000004</v>
      </c>
    </row>
    <row r="21">
      <c r="A21">
        <v>1016</v>
      </c>
      <c r="B21">
        <v>2204021.014</v>
      </c>
      <c r="C21">
        <v>6720773.3260000004</v>
      </c>
      <c r="D21">
        <v>125.991</v>
      </c>
      <c r="E21">
        <v>795</v>
      </c>
      <c r="F21" s="58">
        <v>52.103942449982505</v>
      </c>
      <c r="G21" s="34">
        <v>0.60350400000000004</v>
      </c>
      <c r="H21" s="34">
        <v>0.59049879360000002</v>
      </c>
      <c r="I21" s="34">
        <v>-0.013005206399999979</v>
      </c>
      <c r="J21" s="34">
        <v>0.013005206399999979</v>
      </c>
      <c r="L21" s="34">
        <v>52.103942449982505</v>
      </c>
      <c r="M21" s="34">
        <v>0.53339999999999999</v>
      </c>
      <c r="N21" s="34">
        <v>0.54915328320000001</v>
      </c>
      <c r="O21" s="34">
        <v>0.01575328320000002</v>
      </c>
      <c r="P21" s="34">
        <v>0.01575328320000002</v>
      </c>
    </row>
    <row r="22">
      <c r="A22">
        <v>1017</v>
      </c>
      <c r="B22">
        <v>2204014.8640000001</v>
      </c>
      <c r="C22">
        <v>6720780.9560000002</v>
      </c>
      <c r="D22">
        <v>126.66</v>
      </c>
      <c r="E22">
        <v>795</v>
      </c>
      <c r="F22" s="58">
        <v>55.09097311931135</v>
      </c>
      <c r="G22" s="34">
        <v>0.33832800000000007</v>
      </c>
      <c r="H22" s="34">
        <v>0.44598762720000001</v>
      </c>
      <c r="I22" s="34">
        <v>0.10765962719999998</v>
      </c>
      <c r="J22" s="34">
        <v>0.10765962719999998</v>
      </c>
      <c r="L22" s="34">
        <v>55.09097311931135</v>
      </c>
      <c r="M22" s="34">
        <v>0.35052</v>
      </c>
      <c r="N22" s="34">
        <v>0.38083845600000005</v>
      </c>
      <c r="O22" s="34">
        <v>0.030318456000000053</v>
      </c>
      <c r="P22" s="34">
        <v>0.030318456000000053</v>
      </c>
    </row>
    <row r="23">
      <c r="A23">
        <v>1018</v>
      </c>
      <c r="B23">
        <v>2204008.6639999999</v>
      </c>
      <c r="C23">
        <v>6720788.2889999999</v>
      </c>
      <c r="D23">
        <v>127.255</v>
      </c>
      <c r="E23">
        <v>795</v>
      </c>
      <c r="F23" s="58">
        <v>58.017892611712824</v>
      </c>
      <c r="G23" s="34">
        <v>0.140208</v>
      </c>
      <c r="H23" s="34">
        <v>0.27232996079999999</v>
      </c>
      <c r="I23" s="34">
        <v>0.13212196079999999</v>
      </c>
      <c r="J23" s="34">
        <v>0.13212196079999999</v>
      </c>
      <c r="L23" s="34">
        <v>58.017892611712824</v>
      </c>
      <c r="M23" s="34">
        <v>0.18999768960000002</v>
      </c>
      <c r="N23" s="34">
        <v>0.21440729279999998</v>
      </c>
      <c r="O23" s="34">
        <v>0.02440960319999998</v>
      </c>
      <c r="P23" s="34">
        <v>0.02440960319999998</v>
      </c>
    </row>
    <row r="24">
      <c r="A24" s="1" t="s">
        <v>38</v>
      </c>
    </row>
    <row r="25">
      <c r="A25">
        <v>1019</v>
      </c>
      <c r="B25">
        <v>2204483.8590000002</v>
      </c>
      <c r="C25">
        <v>6722002.5580000002</v>
      </c>
      <c r="D25">
        <v>130.73099999999999</v>
      </c>
      <c r="E25">
        <v>795</v>
      </c>
      <c r="F25" s="58">
        <v>1.771132164219791</v>
      </c>
      <c r="G25" s="34">
        <v>0.25908000000000003</v>
      </c>
      <c r="H25" s="34">
        <v>0.24122329200000001</v>
      </c>
      <c r="I25" s="34">
        <v>-0.017856707999999999</v>
      </c>
      <c r="J25" s="34">
        <v>0.017856707999999999</v>
      </c>
      <c r="L25" s="34">
        <v>1.771132164219791</v>
      </c>
      <c r="M25" s="34">
        <v>0.1799978112</v>
      </c>
      <c r="N25" s="34">
        <v>0.19304508000000001</v>
      </c>
      <c r="O25" s="34">
        <v>0.013047268800000004</v>
      </c>
      <c r="P25" s="34">
        <v>0.013047268800000004</v>
      </c>
    </row>
    <row r="26">
      <c r="A26">
        <v>1020</v>
      </c>
      <c r="B26">
        <v>2204488.6639999999</v>
      </c>
      <c r="C26">
        <v>6722001.3959999997</v>
      </c>
      <c r="D26">
        <v>130.41999999999999</v>
      </c>
      <c r="E26">
        <v>795</v>
      </c>
      <c r="F26" s="58">
        <v>3.2779133302404699</v>
      </c>
      <c r="G26" s="34">
        <v>0.420624</v>
      </c>
      <c r="H26" s="34">
        <v>0.29488028399999999</v>
      </c>
      <c r="I26" s="34">
        <v>-0.12574371599999998</v>
      </c>
      <c r="J26" s="34">
        <v>0.12574371599999998</v>
      </c>
      <c r="L26" s="34">
        <v>3.2779133302404699</v>
      </c>
      <c r="M26" s="34">
        <v>0.32004000000000005</v>
      </c>
      <c r="N26" s="34">
        <v>0.2679758928</v>
      </c>
      <c r="O26" s="34">
        <v>-0.052064107200000008</v>
      </c>
      <c r="P26" s="34">
        <v>0.052064107200000008</v>
      </c>
    </row>
    <row r="27">
      <c r="A27">
        <v>1021</v>
      </c>
      <c r="B27">
        <v>2204497.102</v>
      </c>
      <c r="C27">
        <v>6722000.2489999998</v>
      </c>
      <c r="D27">
        <v>130.19300000000001</v>
      </c>
      <c r="E27">
        <v>795</v>
      </c>
      <c r="F27" s="58">
        <v>5.8734683827832219</v>
      </c>
      <c r="G27" s="34">
        <v>0.36880800000000002</v>
      </c>
      <c r="H27" s="34">
        <v>0.36471758400000004</v>
      </c>
      <c r="I27" s="34">
        <v>-0.004090415999999996</v>
      </c>
      <c r="J27" s="34">
        <v>0.004090415999999996</v>
      </c>
      <c r="L27" s="34">
        <v>5.8734683827832219</v>
      </c>
      <c r="M27" s="34">
        <v>0.42999477120000001</v>
      </c>
      <c r="N27" s="34">
        <v>0.37205107199999998</v>
      </c>
      <c r="O27" s="34">
        <v>-0.057943699200000018</v>
      </c>
      <c r="P27" s="34">
        <v>0.057943699200000018</v>
      </c>
    </row>
    <row r="28">
      <c r="A28">
        <v>1022</v>
      </c>
      <c r="B28">
        <v>2204502.7689999999</v>
      </c>
      <c r="C28">
        <v>6721999.7609999999</v>
      </c>
      <c r="D28">
        <v>130.09700000000001</v>
      </c>
      <c r="E28">
        <v>795</v>
      </c>
      <c r="F28" s="58">
        <v>7.6071624500295023</v>
      </c>
      <c r="G28" s="34">
        <v>0.454152</v>
      </c>
      <c r="H28" s="34">
        <v>0.40277887440000004</v>
      </c>
      <c r="I28" s="34">
        <v>-0.051373125600000007</v>
      </c>
      <c r="J28" s="34">
        <v>0.051373125600000007</v>
      </c>
      <c r="L28" s="34">
        <v>7.6071624500295023</v>
      </c>
      <c r="M28" s="34">
        <v>0.42671999999999999</v>
      </c>
      <c r="N28" s="34">
        <v>0.44189050560000004</v>
      </c>
      <c r="O28" s="34">
        <v>0.015170505600000047</v>
      </c>
      <c r="P28" s="34">
        <v>0.015170505600000047</v>
      </c>
    </row>
    <row r="29">
      <c r="A29">
        <v>1023</v>
      </c>
      <c r="B29">
        <v>2204509.5460000001</v>
      </c>
      <c r="C29">
        <v>6721998.6629999997</v>
      </c>
      <c r="D29">
        <v>130.256</v>
      </c>
      <c r="E29">
        <v>795</v>
      </c>
      <c r="F29" s="58">
        <v>9.699727842406757</v>
      </c>
      <c r="G29" s="34">
        <v>0.38100000000000001</v>
      </c>
      <c r="H29" s="34">
        <v>0.42237934320000003</v>
      </c>
      <c r="I29" s="34">
        <v>0.041379343199999988</v>
      </c>
      <c r="J29" s="34">
        <v>0.041379343199999988</v>
      </c>
      <c r="L29" s="34">
        <v>9.699727842406757</v>
      </c>
      <c r="M29" s="34">
        <v>0.349995744</v>
      </c>
      <c r="N29" s="34">
        <v>0.50703205680000007</v>
      </c>
      <c r="O29" s="34">
        <v>0.15703631280000002</v>
      </c>
      <c r="P29" s="34">
        <v>0.15703631280000002</v>
      </c>
    </row>
    <row r="30">
      <c r="A30">
        <v>1024</v>
      </c>
      <c r="B30">
        <v>2204516.3020000001</v>
      </c>
      <c r="C30">
        <v>6721997.4380000001</v>
      </c>
      <c r="D30">
        <v>130.417</v>
      </c>
      <c r="E30">
        <v>795</v>
      </c>
      <c r="F30" s="58">
        <v>11.792533584736923</v>
      </c>
      <c r="G30" s="34">
        <v>0.33832800000000007</v>
      </c>
      <c r="H30" s="34">
        <v>0.40689397920000003</v>
      </c>
      <c r="I30" s="34">
        <v>0.06856597919999996</v>
      </c>
      <c r="J30" s="34">
        <v>0.06856597919999996</v>
      </c>
      <c r="L30" s="34">
        <v>11.792533584736923</v>
      </c>
      <c r="M30" s="34">
        <v>0.33528000000000002</v>
      </c>
      <c r="N30" s="34">
        <v>0.57647128800000003</v>
      </c>
      <c r="O30" s="34">
        <v>0.241191288</v>
      </c>
      <c r="P30" s="34">
        <v>0.241191288</v>
      </c>
    </row>
    <row r="31">
      <c r="A31">
        <v>1025</v>
      </c>
      <c r="B31">
        <v>2204523.3769999999</v>
      </c>
      <c r="C31">
        <v>6721997.6320000002</v>
      </c>
      <c r="D31">
        <v>130.53299999999999</v>
      </c>
      <c r="E31">
        <v>795</v>
      </c>
      <c r="F31" s="58">
        <v>13.94980413569964</v>
      </c>
      <c r="G31" s="34">
        <v>0.18897600000000001</v>
      </c>
      <c r="H31" s="34">
        <v>0.3655676712</v>
      </c>
      <c r="I31" s="34">
        <v>0.17659167119999999</v>
      </c>
      <c r="J31" s="34">
        <v>0.17659167119999999</v>
      </c>
      <c r="L31" s="34">
        <v>13.94980413569964</v>
      </c>
      <c r="M31" s="34">
        <v>0.28999647359999997</v>
      </c>
      <c r="N31" s="34">
        <v>0.56311159920000009</v>
      </c>
      <c r="O31" s="34">
        <v>0.27311512560000006</v>
      </c>
      <c r="P31" s="34">
        <v>0.27311512560000006</v>
      </c>
    </row>
    <row r="32">
      <c r="A32">
        <v>1026</v>
      </c>
      <c r="B32">
        <v>2204529.9199999999</v>
      </c>
      <c r="C32">
        <v>6721997.1730000004</v>
      </c>
      <c r="D32">
        <v>130.72800000000001</v>
      </c>
      <c r="E32">
        <v>795</v>
      </c>
      <c r="F32" s="58">
        <v>15.949011709342518</v>
      </c>
      <c r="G32" s="34">
        <v>0.140208</v>
      </c>
      <c r="H32" s="34">
        <v>0.31489741440000002</v>
      </c>
      <c r="I32" s="34">
        <v>0.17468941440000002</v>
      </c>
      <c r="J32" s="34">
        <v>0.17468941440000002</v>
      </c>
      <c r="L32" s="34">
        <v>15.949011709342518</v>
      </c>
      <c r="M32" s="34">
        <v>0.19812000000000002</v>
      </c>
      <c r="N32" s="34">
        <v>0.48345364320000001</v>
      </c>
      <c r="O32" s="34">
        <v>0.28533364319999999</v>
      </c>
      <c r="P32" s="34">
        <v>0.28533364319999999</v>
      </c>
    </row>
    <row r="33">
      <c r="A33">
        <v>1027</v>
      </c>
      <c r="B33">
        <v>2204536.5690000001</v>
      </c>
      <c r="C33">
        <v>6721996.8859999999</v>
      </c>
      <c r="D33">
        <v>130.85499999999999</v>
      </c>
      <c r="E33">
        <v>795</v>
      </c>
      <c r="F33" s="58">
        <v>17.977513989266292</v>
      </c>
      <c r="G33" s="34">
        <v>0.060960000000000007</v>
      </c>
      <c r="H33" s="34">
        <v>0.25849112640000005</v>
      </c>
      <c r="I33" s="34">
        <v>0.19753112640000003</v>
      </c>
      <c r="J33" s="34">
        <v>0.19753112640000003</v>
      </c>
      <c r="L33" s="34">
        <v>17.977513989266292</v>
      </c>
      <c r="M33" s="34">
        <v>0.14999817600000001</v>
      </c>
      <c r="N33" s="34">
        <v>0.38578170239999998</v>
      </c>
      <c r="O33" s="34">
        <v>0.2357835264</v>
      </c>
      <c r="P33" s="34">
        <v>0.2357835264</v>
      </c>
    </row>
    <row r="34">
      <c r="A34" s="1" t="s">
        <v>44</v>
      </c>
    </row>
    <row r="35">
      <c r="A35">
        <v>1028</v>
      </c>
      <c r="B35">
        <v>2204853.0520000001</v>
      </c>
      <c r="C35">
        <v>6722396.1169999996</v>
      </c>
      <c r="D35">
        <v>130.029</v>
      </c>
      <c r="E35">
        <v>795</v>
      </c>
      <c r="F35" s="58">
        <v>3.7025152155364274</v>
      </c>
      <c r="G35" s="34">
        <v>0.25908000000000003</v>
      </c>
      <c r="H35" s="34">
        <v>1.0745477111999999</v>
      </c>
      <c r="I35" s="34">
        <v>0.81546771119999995</v>
      </c>
      <c r="J35" s="34">
        <v>0.81546771119999995</v>
      </c>
      <c r="L35" s="34">
        <v>3.7025152155364274</v>
      </c>
      <c r="M35" s="34">
        <v>0.26999671680000004</v>
      </c>
      <c r="N35" s="34">
        <v>0.36066740160000005</v>
      </c>
      <c r="O35" s="34">
        <v>0.090670684799999998</v>
      </c>
      <c r="P35" s="34">
        <v>0.090670684799999998</v>
      </c>
    </row>
    <row r="36">
      <c r="A36">
        <v>1029</v>
      </c>
      <c r="B36">
        <v>2204858.0589999999</v>
      </c>
      <c r="C36">
        <v>6722397.4550000001</v>
      </c>
      <c r="D36">
        <v>129.70400000000001</v>
      </c>
      <c r="E36">
        <v>795</v>
      </c>
      <c r="F36" s="58">
        <v>5.2821996380941432</v>
      </c>
      <c r="G36" s="34">
        <v>0.40538400000000002</v>
      </c>
      <c r="H36" s="34">
        <v>1.1631838560000001</v>
      </c>
      <c r="I36" s="34">
        <v>0.75779985599999999</v>
      </c>
      <c r="J36" s="34">
        <v>0.75779985599999999</v>
      </c>
      <c r="L36" s="34">
        <v>5.2821996380941432</v>
      </c>
      <c r="M36" s="34">
        <v>0.35052</v>
      </c>
      <c r="N36" s="34">
        <v>0.41510864399999997</v>
      </c>
      <c r="O36" s="34">
        <v>0.064588644000000001</v>
      </c>
      <c r="P36" s="34">
        <v>0.064588644000000001</v>
      </c>
    </row>
    <row r="37">
      <c r="A37">
        <v>1030</v>
      </c>
      <c r="B37">
        <v>2204864.6150000002</v>
      </c>
      <c r="C37">
        <v>6722398.324</v>
      </c>
      <c r="D37">
        <v>128.816</v>
      </c>
      <c r="E37">
        <v>795</v>
      </c>
      <c r="F37" s="58">
        <v>7.2979463855895563</v>
      </c>
      <c r="G37" s="34">
        <v>0.70104</v>
      </c>
      <c r="H37" s="34">
        <v>1.2597606504000003</v>
      </c>
      <c r="I37" s="34">
        <v>0.55872065040000018</v>
      </c>
      <c r="J37" s="34">
        <v>0.55872065040000018</v>
      </c>
      <c r="L37" s="34">
        <v>7.2979463855895563</v>
      </c>
      <c r="M37" s="34">
        <v>0.66999185280000018</v>
      </c>
      <c r="N37" s="34">
        <v>0.48656443200000005</v>
      </c>
      <c r="O37" s="34">
        <v>-0.18342742080000007</v>
      </c>
      <c r="P37" s="34">
        <v>0.18342742080000007</v>
      </c>
    </row>
    <row r="38">
      <c r="A38">
        <v>1032</v>
      </c>
      <c r="B38">
        <v>2204871.429</v>
      </c>
      <c r="C38">
        <v>6722399.2680000002</v>
      </c>
      <c r="D38">
        <v>128.46899999999999</v>
      </c>
      <c r="E38">
        <v>795</v>
      </c>
      <c r="F38" s="58">
        <v>9.3946897558212417</v>
      </c>
      <c r="G38" s="34">
        <v>1.018032</v>
      </c>
      <c r="H38" s="34">
        <v>1.3187693208000002</v>
      </c>
      <c r="I38" s="34">
        <v>0.3007373208000001</v>
      </c>
      <c r="J38" s="34">
        <v>0.3007373208000001</v>
      </c>
      <c r="L38" s="34">
        <v>9.3946897558212417</v>
      </c>
      <c r="M38" s="34">
        <v>0.85343999999999998</v>
      </c>
      <c r="N38" s="34">
        <v>0.57064046400000001</v>
      </c>
      <c r="O38" s="34">
        <v>-0.28279953599999996</v>
      </c>
      <c r="P38" s="34">
        <v>0.28279953599999996</v>
      </c>
    </row>
    <row r="39">
      <c r="A39" s="1" t="s">
        <v>46</v>
      </c>
    </row>
    <row r="40">
      <c r="A40">
        <v>1033</v>
      </c>
      <c r="B40">
        <v>2204799.8760000002</v>
      </c>
      <c r="C40">
        <v>6722572.1160000004</v>
      </c>
      <c r="D40">
        <v>132.16999999999999</v>
      </c>
      <c r="E40">
        <v>795</v>
      </c>
      <c r="F40" s="58">
        <v>2.3426927605221648</v>
      </c>
      <c r="G40" s="34">
        <v>0.32004000000000005</v>
      </c>
      <c r="H40" s="34">
        <v>0.58782813599999995</v>
      </c>
      <c r="I40" s="34">
        <v>0.26778813599999995</v>
      </c>
      <c r="J40" s="34">
        <v>0.26778813599999995</v>
      </c>
      <c r="L40" s="34">
        <v>2.3426927605221648</v>
      </c>
      <c r="M40" s="34">
        <v>0.12999841920000002</v>
      </c>
      <c r="N40" s="34">
        <v>0.21656222880000001</v>
      </c>
      <c r="O40" s="34">
        <v>0.086563809599999986</v>
      </c>
      <c r="P40" s="34">
        <v>0.086563809599999986</v>
      </c>
    </row>
    <row r="41">
      <c r="A41">
        <v>1034</v>
      </c>
      <c r="B41">
        <v>2204806.7790000001</v>
      </c>
      <c r="C41">
        <v>6722573.102</v>
      </c>
      <c r="D41">
        <v>131.62299999999999</v>
      </c>
      <c r="E41">
        <v>795</v>
      </c>
      <c r="F41" s="58">
        <v>4.4680823060158907</v>
      </c>
      <c r="G41" s="34">
        <v>0.55473600000000001</v>
      </c>
      <c r="H41" s="34">
        <v>0.74216117760000011</v>
      </c>
      <c r="I41" s="34">
        <v>0.18742517760000005</v>
      </c>
      <c r="J41" s="34">
        <v>0.18742517760000005</v>
      </c>
      <c r="L41" s="34">
        <v>4.4680823060158907</v>
      </c>
      <c r="M41" s="34">
        <v>0.28955999999999998</v>
      </c>
      <c r="N41" s="34">
        <v>0.29773930800000004</v>
      </c>
      <c r="O41" s="34">
        <v>0.0081793080000000171</v>
      </c>
      <c r="P41" s="34">
        <v>0.0081793080000000171</v>
      </c>
    </row>
    <row r="42">
      <c r="A42">
        <v>1035</v>
      </c>
      <c r="B42">
        <v>2204813.4980000001</v>
      </c>
      <c r="C42">
        <v>6722574.4519999996</v>
      </c>
      <c r="D42">
        <v>131.47</v>
      </c>
      <c r="E42">
        <v>795</v>
      </c>
      <c r="F42" s="58">
        <v>6.5569623667037122</v>
      </c>
      <c r="G42" s="34">
        <v>0.73152000000000006</v>
      </c>
      <c r="H42" s="34">
        <v>0.86559908159999999</v>
      </c>
      <c r="I42" s="34">
        <v>0.13407908159999998</v>
      </c>
      <c r="J42" s="34">
        <v>0.13407908159999998</v>
      </c>
      <c r="L42" s="34">
        <v>6.5569623667037122</v>
      </c>
      <c r="M42" s="34">
        <v>0.28999647359999997</v>
      </c>
      <c r="N42" s="34">
        <v>0.37557577920000002</v>
      </c>
      <c r="O42" s="34">
        <v>0.085579305600000044</v>
      </c>
      <c r="P42" s="34">
        <v>0.085579305600000044</v>
      </c>
    </row>
    <row r="43">
      <c r="A43">
        <v>1036</v>
      </c>
      <c r="B43">
        <v>2204821.3679999998</v>
      </c>
      <c r="C43">
        <v>6722577.0559999999</v>
      </c>
      <c r="D43">
        <v>131.44399999999999</v>
      </c>
      <c r="E43">
        <v>795</v>
      </c>
      <c r="F43" s="58">
        <v>9.0836370030342621</v>
      </c>
      <c r="G43" s="34">
        <v>0.55473600000000001</v>
      </c>
      <c r="H43" s="34">
        <v>0.96611175840000008</v>
      </c>
      <c r="I43" s="34">
        <v>0.41137575840000001</v>
      </c>
      <c r="J43" s="34">
        <v>0.41137575840000001</v>
      </c>
      <c r="L43" s="34">
        <v>9.0836370030342621</v>
      </c>
      <c r="M43" s="34">
        <v>0.32004000000000005</v>
      </c>
      <c r="N43" s="34">
        <v>0.48762025920000002</v>
      </c>
      <c r="O43" s="34">
        <v>0.1675802592</v>
      </c>
      <c r="P43" s="34">
        <v>0.1675802592</v>
      </c>
    </row>
    <row r="44">
      <c r="A44">
        <v>1037</v>
      </c>
      <c r="B44">
        <v>2204830.4019999998</v>
      </c>
      <c r="C44">
        <v>6722579.3729999997</v>
      </c>
      <c r="D44">
        <v>131.17400000000001</v>
      </c>
      <c r="E44">
        <v>795</v>
      </c>
      <c r="F44" s="58">
        <v>11.926322220323081</v>
      </c>
      <c r="G44" s="34">
        <v>0.85039200000000004</v>
      </c>
      <c r="H44" s="34">
        <v>1.0301346936</v>
      </c>
      <c r="I44" s="34">
        <v>0.17974269359999995</v>
      </c>
      <c r="J44" s="34">
        <v>0.17974269359999995</v>
      </c>
      <c r="L44" s="34">
        <v>11.926322220323081</v>
      </c>
      <c r="M44" s="34">
        <v>0.39999513600000008</v>
      </c>
      <c r="N44" s="34">
        <v>0.59146226639999999</v>
      </c>
      <c r="O44" s="34">
        <v>0.19146713039999996</v>
      </c>
      <c r="P44" s="34">
        <v>0.19146713039999996</v>
      </c>
    </row>
    <row r="45">
      <c r="A45">
        <v>1038</v>
      </c>
      <c r="B45">
        <v>2204838.1899999999</v>
      </c>
      <c r="C45">
        <v>6722581.1660000002</v>
      </c>
      <c r="D45">
        <v>131.02199999999999</v>
      </c>
      <c r="E45">
        <v>795</v>
      </c>
      <c r="F45" s="58">
        <v>14.362202375055725</v>
      </c>
      <c r="G45" s="34">
        <v>1.1155680000000001</v>
      </c>
      <c r="H45" s="34">
        <v>1.0343333136000001</v>
      </c>
      <c r="I45" s="34">
        <v>-0.08123468640000002</v>
      </c>
      <c r="J45" s="34">
        <v>0.08123468640000002</v>
      </c>
      <c r="L45" s="34">
        <v>14.362202375055725</v>
      </c>
      <c r="M45" s="34">
        <v>0.47244000000000003</v>
      </c>
      <c r="N45" s="34">
        <v>0.60503653440000005</v>
      </c>
      <c r="O45" s="34">
        <v>0.13259653439999999</v>
      </c>
      <c r="P45" s="34">
        <v>0.13259653439999999</v>
      </c>
    </row>
    <row r="46">
      <c r="A46">
        <v>1039</v>
      </c>
      <c r="B46">
        <v>2204845.2429999998</v>
      </c>
      <c r="C46">
        <v>6722582.8969999999</v>
      </c>
      <c r="D46">
        <v>130.90700000000001</v>
      </c>
      <c r="E46">
        <v>795</v>
      </c>
      <c r="F46" s="58">
        <v>16.57575495537629</v>
      </c>
      <c r="G46" s="34">
        <v>1.2710160000000001</v>
      </c>
      <c r="H46" s="34">
        <v>1.0287057911999999</v>
      </c>
      <c r="I46" s="34">
        <v>-0.24231020879999998</v>
      </c>
      <c r="J46" s="34">
        <v>0.24231020879999998</v>
      </c>
      <c r="L46" s="34">
        <v>16.57575495537629</v>
      </c>
      <c r="M46" s="34">
        <v>0.47999416319999999</v>
      </c>
      <c r="N46" s="34">
        <v>0.59233795680000001</v>
      </c>
      <c r="O46" s="34">
        <v>0.11234379359999999</v>
      </c>
      <c r="P46" s="34">
        <v>0.11234379359999999</v>
      </c>
    </row>
    <row r="47">
      <c r="A47">
        <v>1040</v>
      </c>
      <c r="B47">
        <v>2204852.4840000002</v>
      </c>
      <c r="C47">
        <v>6722584.3300000001</v>
      </c>
      <c r="D47">
        <v>130.55500000000001</v>
      </c>
      <c r="E47">
        <v>795</v>
      </c>
      <c r="F47" s="58">
        <v>18.825616082136261</v>
      </c>
      <c r="G47" s="34">
        <v>1.3807440000000002</v>
      </c>
      <c r="H47" s="34">
        <v>1.0398224568000001</v>
      </c>
      <c r="I47" s="34">
        <v>-0.34092154320000012</v>
      </c>
      <c r="J47" s="34">
        <v>0.34092154320000012</v>
      </c>
      <c r="L47" s="34">
        <v>18.825616082136261</v>
      </c>
      <c r="M47" s="34">
        <v>0.57911999999999997</v>
      </c>
      <c r="N47" s="34">
        <v>0.71582859120000009</v>
      </c>
      <c r="O47" s="34">
        <v>0.13670859120000003</v>
      </c>
      <c r="P47" s="34">
        <v>0.13670859120000003</v>
      </c>
    </row>
    <row r="48">
      <c r="A48">
        <v>1041</v>
      </c>
      <c r="B48">
        <v>2204861.602</v>
      </c>
      <c r="C48">
        <v>6722586.0259999996</v>
      </c>
      <c r="D48">
        <v>130.37299999999999</v>
      </c>
      <c r="E48">
        <v>795</v>
      </c>
      <c r="F48" s="58">
        <v>21.65245064911743</v>
      </c>
      <c r="G48" s="34">
        <v>1.6184879999999999</v>
      </c>
      <c r="H48" s="34">
        <v>1.0185340056000001</v>
      </c>
      <c r="I48" s="34">
        <v>-0.59995399439999986</v>
      </c>
      <c r="J48" s="34">
        <v>0.59995399439999986</v>
      </c>
      <c r="L48" s="34">
        <v>21.65245064911743</v>
      </c>
      <c r="M48" s="34">
        <v>0.61999246080000003</v>
      </c>
      <c r="N48" s="34">
        <v>0.76565180880000006</v>
      </c>
      <c r="O48" s="34">
        <v>0.14565934800000005</v>
      </c>
      <c r="P48" s="34">
        <v>0.14565934800000005</v>
      </c>
    </row>
    <row r="49">
      <c r="A49">
        <v>1042</v>
      </c>
      <c r="B49">
        <v>2204867.73</v>
      </c>
      <c r="C49">
        <v>6722587.6160000004</v>
      </c>
      <c r="D49">
        <v>130.16800000000001</v>
      </c>
      <c r="E49">
        <v>795</v>
      </c>
      <c r="F49" s="58">
        <v>23.58211352343827</v>
      </c>
      <c r="G49" s="34">
        <v>1.3807440000000002</v>
      </c>
      <c r="H49" s="34">
        <v>0.97051307040000012</v>
      </c>
      <c r="I49" s="34">
        <v>-0.41023092960000007</v>
      </c>
      <c r="J49" s="34">
        <v>0.41023092960000007</v>
      </c>
      <c r="L49" s="34">
        <v>23.58211352343827</v>
      </c>
      <c r="M49" s="34">
        <v>0.73152000000000006</v>
      </c>
      <c r="N49" s="34">
        <v>0.70001526240000012</v>
      </c>
      <c r="O49" s="34">
        <v>-0.031504737599999923</v>
      </c>
      <c r="P49" s="34">
        <v>0.031504737599999923</v>
      </c>
    </row>
    <row r="50">
      <c r="A50">
        <v>1043</v>
      </c>
      <c r="B50">
        <v>2204876.0800000001</v>
      </c>
      <c r="C50">
        <v>6722588.4340000004</v>
      </c>
      <c r="D50">
        <v>130.52000000000001</v>
      </c>
      <c r="E50">
        <v>795</v>
      </c>
      <c r="F50" s="58">
        <v>26.139376877157812</v>
      </c>
      <c r="G50" s="34">
        <v>1.3197840000000001</v>
      </c>
      <c r="H50" s="34">
        <v>0.88611608399999997</v>
      </c>
      <c r="I50" s="34">
        <v>-0.4336679160000001</v>
      </c>
      <c r="J50" s="34">
        <v>0.4336679160000001</v>
      </c>
      <c r="L50" s="34">
        <v>26.139376877157812</v>
      </c>
      <c r="M50" s="34">
        <v>0.61999246080000003</v>
      </c>
      <c r="N50" s="34">
        <v>0.61068935520000001</v>
      </c>
      <c r="O50" s="34">
        <v>-0.009303105599999981</v>
      </c>
      <c r="P50" s="34">
        <v>0.009303105599999981</v>
      </c>
    </row>
    <row r="51">
      <c r="A51">
        <v>1044</v>
      </c>
      <c r="B51">
        <v>2204881.4640000002</v>
      </c>
      <c r="C51">
        <v>6722590.2419999996</v>
      </c>
      <c r="D51">
        <v>130.78800000000001</v>
      </c>
      <c r="E51">
        <v>795</v>
      </c>
      <c r="F51" s="58">
        <v>27.870477737027993</v>
      </c>
      <c r="G51" s="34">
        <v>1.2161520000000001</v>
      </c>
      <c r="H51" s="34">
        <v>0.82167801119999995</v>
      </c>
      <c r="I51" s="34">
        <v>-0.39447398880000012</v>
      </c>
      <c r="J51" s="34">
        <v>0.39447398880000012</v>
      </c>
      <c r="L51" s="34">
        <v>27.870477737027993</v>
      </c>
      <c r="M51" s="34">
        <v>0.57911999999999997</v>
      </c>
      <c r="N51" s="34">
        <v>0.54780789600000002</v>
      </c>
      <c r="O51" s="34">
        <v>-0.031312104</v>
      </c>
      <c r="P51" s="34">
        <v>0.031312104</v>
      </c>
    </row>
    <row r="52">
      <c r="A52">
        <v>1045</v>
      </c>
      <c r="B52">
        <v>2204889.1400000001</v>
      </c>
      <c r="C52">
        <v>6722591.7539999997</v>
      </c>
      <c r="D52">
        <v>130.67599999999999</v>
      </c>
      <c r="E52">
        <v>795</v>
      </c>
      <c r="F52" s="58">
        <v>30.255079908804703</v>
      </c>
      <c r="G52" s="34">
        <v>1.3594079999999999</v>
      </c>
      <c r="H52" s="34">
        <v>0.72333307199999997</v>
      </c>
      <c r="I52" s="34">
        <v>-0.63607492800000009</v>
      </c>
      <c r="J52" s="34">
        <v>0.63607492800000009</v>
      </c>
      <c r="L52" s="34">
        <v>30.255079908804703</v>
      </c>
      <c r="M52" s="34">
        <v>0.52999355520000002</v>
      </c>
      <c r="N52" s="34">
        <v>0.45996392640000006</v>
      </c>
      <c r="O52" s="34">
        <v>-0.070029628800000021</v>
      </c>
      <c r="P52" s="34">
        <v>0.070029628800000021</v>
      </c>
    </row>
    <row r="53">
      <c r="A53">
        <v>1046</v>
      </c>
      <c r="B53">
        <v>2204896.4879999999</v>
      </c>
      <c r="C53">
        <v>6722592.9199999999</v>
      </c>
      <c r="D53">
        <v>131.01300000000001</v>
      </c>
      <c r="E53">
        <v>795</v>
      </c>
      <c r="F53" s="58">
        <v>32.522772653823203</v>
      </c>
      <c r="G53" s="34">
        <v>1.018032</v>
      </c>
      <c r="H53" s="34">
        <v>0.61776102000000011</v>
      </c>
      <c r="I53" s="34">
        <v>-0.40027097999999989</v>
      </c>
      <c r="J53" s="34">
        <v>0.40027097999999989</v>
      </c>
      <c r="L53" s="34">
        <v>32.522772653823203</v>
      </c>
      <c r="M53" s="34">
        <v>0.45720000000000005</v>
      </c>
      <c r="N53" s="34">
        <v>0.37730033760000004</v>
      </c>
      <c r="O53" s="34">
        <v>-0.079899662400000002</v>
      </c>
      <c r="P53" s="34">
        <v>0.079899662400000002</v>
      </c>
    </row>
    <row r="54">
      <c r="A54">
        <v>1047</v>
      </c>
      <c r="B54">
        <v>2204903.3250000002</v>
      </c>
      <c r="C54">
        <v>6722594.2690000003</v>
      </c>
      <c r="D54">
        <v>131.38</v>
      </c>
      <c r="E54">
        <v>795</v>
      </c>
      <c r="F54" s="58">
        <v>34.646867192480308</v>
      </c>
      <c r="G54" s="34">
        <v>0.25908000000000003</v>
      </c>
      <c r="H54" s="34">
        <v>0.51334903679999999</v>
      </c>
      <c r="I54" s="34">
        <v>0.25426903680000001</v>
      </c>
      <c r="J54" s="34">
        <v>0.25426903680000001</v>
      </c>
      <c r="L54" s="34">
        <v>34.646867192480308</v>
      </c>
      <c r="M54" s="34">
        <v>0.25999683840000004</v>
      </c>
      <c r="N54" s="34">
        <v>0.30079035599999998</v>
      </c>
      <c r="O54" s="34">
        <v>0.040793517599999961</v>
      </c>
      <c r="P54" s="34">
        <v>0.040793517599999961</v>
      </c>
    </row>
    <row r="55">
      <c r="A55" s="1" t="s">
        <v>48</v>
      </c>
    </row>
    <row r="56">
      <c r="A56">
        <v>1048</v>
      </c>
      <c r="B56">
        <v>2208209.5819999999</v>
      </c>
      <c r="C56">
        <v>6731085.8789999997</v>
      </c>
      <c r="D56">
        <v>149.827</v>
      </c>
      <c r="E56">
        <v>795</v>
      </c>
      <c r="F56" s="58">
        <v>5.2844152434742995</v>
      </c>
      <c r="G56" s="34">
        <v>0</v>
      </c>
      <c r="H56" s="34">
        <v>0.20395600560000002</v>
      </c>
      <c r="I56" s="34">
        <v>0.20395600560000002</v>
      </c>
      <c r="J56" s="34">
        <v>0.20395600560000002</v>
      </c>
      <c r="L56" s="34">
        <v>5.2844152434742995</v>
      </c>
      <c r="M56" s="34">
        <v>0.1199985408</v>
      </c>
      <c r="N56" s="34">
        <v>0.17132046000000001</v>
      </c>
      <c r="O56" s="34">
        <v>0.051321919200000003</v>
      </c>
      <c r="P56" s="34">
        <v>0.051321919200000003</v>
      </c>
    </row>
    <row r="57">
      <c r="A57">
        <v>1049</v>
      </c>
      <c r="B57">
        <v>2208197.8080000002</v>
      </c>
      <c r="C57">
        <v>6731089.5530000003</v>
      </c>
      <c r="D57">
        <v>149.54300000000001</v>
      </c>
      <c r="E57">
        <v>795</v>
      </c>
      <c r="F57" s="58">
        <v>9.0437912105337883</v>
      </c>
      <c r="G57" s="34">
        <v>0.17068800000000003</v>
      </c>
      <c r="H57" s="34">
        <v>0.31536589199999998</v>
      </c>
      <c r="I57" s="34">
        <v>0.14467789199999997</v>
      </c>
      <c r="J57" s="34">
        <v>0.14467789199999997</v>
      </c>
      <c r="L57" s="34">
        <v>9.0437912105337883</v>
      </c>
      <c r="M57" s="34">
        <v>0.12999841920000002</v>
      </c>
      <c r="N57" s="34">
        <v>0.32658222720000002</v>
      </c>
      <c r="O57" s="34">
        <v>0.196583808</v>
      </c>
      <c r="P57" s="34">
        <v>0.196583808</v>
      </c>
    </row>
    <row r="58">
      <c r="A58">
        <v>1050</v>
      </c>
      <c r="B58">
        <v>2208186.3930000002</v>
      </c>
      <c r="C58">
        <v>6731094.8030000003</v>
      </c>
      <c r="D58">
        <v>149.47200000000001</v>
      </c>
      <c r="E58">
        <v>795</v>
      </c>
      <c r="F58" s="58">
        <v>12.873427337027142</v>
      </c>
      <c r="G58" s="34">
        <v>0.33832800000000007</v>
      </c>
      <c r="H58" s="34">
        <v>0.43839810720000005</v>
      </c>
      <c r="I58" s="34">
        <v>0.10007010720000001</v>
      </c>
      <c r="J58" s="34">
        <v>0.10007010720000001</v>
      </c>
      <c r="L58" s="34">
        <v>12.873427337027142</v>
      </c>
      <c r="M58" s="34">
        <v>0.25908000000000003</v>
      </c>
      <c r="N58" s="34">
        <v>0.41347918320000004</v>
      </c>
      <c r="O58" s="34">
        <v>0.15439918320000004</v>
      </c>
      <c r="P58" s="34">
        <v>0.15439918320000004</v>
      </c>
    </row>
    <row r="59">
      <c r="A59">
        <v>1051</v>
      </c>
      <c r="B59">
        <v>2208176.2549999999</v>
      </c>
      <c r="C59">
        <v>6731097.7010000004</v>
      </c>
      <c r="D59">
        <v>149.167</v>
      </c>
      <c r="E59">
        <v>795</v>
      </c>
      <c r="F59" s="58">
        <v>16.087260391056432</v>
      </c>
      <c r="G59" s="34">
        <v>0.56997600000000004</v>
      </c>
      <c r="H59" s="34">
        <v>0.54560724000000005</v>
      </c>
      <c r="I59" s="34">
        <v>-0.024368760000000059</v>
      </c>
      <c r="J59" s="34">
        <v>0.024368760000000059</v>
      </c>
      <c r="L59" s="34">
        <v>16.087260391056432</v>
      </c>
      <c r="M59" s="34">
        <v>0.37999537920000004</v>
      </c>
      <c r="N59" s="34">
        <v>0.42173712960000004</v>
      </c>
      <c r="O59" s="34">
        <v>0.04174175040000002</v>
      </c>
      <c r="P59" s="34">
        <v>0.04174175040000002</v>
      </c>
    </row>
    <row r="60">
      <c r="A60">
        <v>1052</v>
      </c>
      <c r="B60">
        <v>2208164.148</v>
      </c>
      <c r="C60">
        <v>6731104.1430000002</v>
      </c>
      <c r="D60">
        <v>148.71299999999999</v>
      </c>
      <c r="E60">
        <v>795</v>
      </c>
      <c r="F60" s="58">
        <v>20.267343343188806</v>
      </c>
      <c r="G60" s="34">
        <v>0.77114399999999994</v>
      </c>
      <c r="H60" s="34">
        <v>0.69467394719999997</v>
      </c>
      <c r="I60" s="34">
        <v>-0.07647005279999998</v>
      </c>
      <c r="J60" s="34">
        <v>0.07647005279999998</v>
      </c>
      <c r="L60" s="34">
        <v>20.267343343188806</v>
      </c>
      <c r="M60" s="34">
        <v>0.50292000000000003</v>
      </c>
      <c r="N60" s="34">
        <v>0.38110180320000003</v>
      </c>
      <c r="O60" s="34">
        <v>-0.12181819679999996</v>
      </c>
      <c r="P60" s="34">
        <v>0.12181819679999996</v>
      </c>
    </row>
    <row r="61">
      <c r="A61">
        <v>1053</v>
      </c>
      <c r="B61">
        <v>2208151.1719999998</v>
      </c>
      <c r="C61">
        <v>6731110.4019999998</v>
      </c>
      <c r="D61">
        <v>148.363</v>
      </c>
      <c r="E61">
        <v>795</v>
      </c>
      <c r="F61" s="58">
        <v>24.658491244649934</v>
      </c>
      <c r="G61" s="34">
        <v>0.95097600000000004</v>
      </c>
      <c r="H61" s="34">
        <v>0.9028334496</v>
      </c>
      <c r="I61" s="34">
        <v>-0.04814255040000006</v>
      </c>
      <c r="J61" s="34">
        <v>0.04814255040000006</v>
      </c>
      <c r="L61" s="34">
        <v>24.658491244649934</v>
      </c>
      <c r="M61" s="34">
        <v>0.64999209600000007</v>
      </c>
      <c r="N61" s="34">
        <v>0.7295714136</v>
      </c>
      <c r="O61" s="34">
        <v>0.079579317599999963</v>
      </c>
      <c r="P61" s="34">
        <v>0.079579317599999963</v>
      </c>
    </row>
    <row r="62">
      <c r="A62">
        <v>1054</v>
      </c>
      <c r="B62">
        <v>2208140.6340000001</v>
      </c>
      <c r="C62">
        <v>6731114.5039999997</v>
      </c>
      <c r="D62">
        <v>148.072</v>
      </c>
      <c r="E62">
        <v>795</v>
      </c>
      <c r="F62" s="58">
        <v>28.10523681419447</v>
      </c>
      <c r="G62" s="34">
        <v>0.95097600000000004</v>
      </c>
      <c r="H62" s="34">
        <v>1.0115467704000001</v>
      </c>
      <c r="I62" s="34">
        <v>0.060570770399999932</v>
      </c>
      <c r="J62" s="34">
        <v>0.060570770399999932</v>
      </c>
      <c r="L62" s="34">
        <v>28.10523681419447</v>
      </c>
      <c r="M62" s="34">
        <v>0.65532000000000001</v>
      </c>
      <c r="N62" s="34">
        <v>0.6625212048000001</v>
      </c>
      <c r="O62" s="34">
        <v>0.0072012048000000455</v>
      </c>
      <c r="P62" s="34">
        <v>0.0072012048000000455</v>
      </c>
    </row>
    <row r="63">
      <c r="A63">
        <v>1055</v>
      </c>
      <c r="B63">
        <v>2208129.6349999998</v>
      </c>
      <c r="C63">
        <v>6731119.8370000003</v>
      </c>
      <c r="D63">
        <v>148.197</v>
      </c>
      <c r="E63">
        <v>795</v>
      </c>
      <c r="F63" s="58">
        <v>31.831021176661434</v>
      </c>
      <c r="G63" s="34">
        <v>1.109472</v>
      </c>
      <c r="H63" s="34">
        <v>1.0394399327999999</v>
      </c>
      <c r="I63" s="34">
        <v>-0.070032067200000089</v>
      </c>
      <c r="J63" s="34">
        <v>0.070032067200000089</v>
      </c>
      <c r="L63" s="34">
        <v>31.831021176661434</v>
      </c>
      <c r="M63" s="34">
        <v>0.67999173120000023</v>
      </c>
      <c r="N63" s="34">
        <v>0.91316556000000004</v>
      </c>
      <c r="O63" s="34">
        <v>0.2331738287999999</v>
      </c>
      <c r="P63" s="34">
        <v>0.2331738287999999</v>
      </c>
    </row>
    <row r="64">
      <c r="A64">
        <v>1056</v>
      </c>
      <c r="B64">
        <v>2208118.7769999998</v>
      </c>
      <c r="C64">
        <v>6731125.0800000001</v>
      </c>
      <c r="D64">
        <v>148.029</v>
      </c>
      <c r="E64">
        <v>795</v>
      </c>
      <c r="F64" s="58">
        <v>35.50617127680048</v>
      </c>
      <c r="G64" s="34">
        <v>0.78638400000000008</v>
      </c>
      <c r="H64" s="34">
        <v>1.0233958703999999</v>
      </c>
      <c r="I64" s="34">
        <v>0.23701187039999994</v>
      </c>
      <c r="J64" s="34">
        <v>0.23701187039999994</v>
      </c>
      <c r="L64" s="34">
        <v>35.50617127680048</v>
      </c>
      <c r="M64" s="34">
        <v>0.73152000000000006</v>
      </c>
      <c r="N64" s="34">
        <v>0.70808209919999998</v>
      </c>
      <c r="O64" s="34">
        <v>-0.023437900800000026</v>
      </c>
      <c r="P64" s="34">
        <v>0.023437900800000026</v>
      </c>
    </row>
    <row r="65">
      <c r="A65">
        <v>1057</v>
      </c>
      <c r="B65">
        <v>2208106.466</v>
      </c>
      <c r="C65">
        <v>6731129.6119999997</v>
      </c>
      <c r="D65">
        <v>147.98099999999999</v>
      </c>
      <c r="E65">
        <v>795</v>
      </c>
      <c r="F65" s="58">
        <v>39.504744709022745</v>
      </c>
      <c r="G65" s="34">
        <v>1.1490960000000001</v>
      </c>
      <c r="H65" s="34">
        <v>1.0507035120000001</v>
      </c>
      <c r="I65" s="34">
        <v>-0.098392488000000014</v>
      </c>
      <c r="J65" s="34">
        <v>0.098392488000000014</v>
      </c>
      <c r="L65" s="34">
        <v>39.504744709022745</v>
      </c>
      <c r="M65" s="34">
        <v>0.699991488</v>
      </c>
      <c r="N65" s="34">
        <v>0.66836269680000004</v>
      </c>
      <c r="O65" s="34">
        <v>-0.031628791199999937</v>
      </c>
      <c r="P65" s="34">
        <v>0.031628791199999937</v>
      </c>
    </row>
    <row r="66">
      <c r="A66">
        <v>1058</v>
      </c>
      <c r="B66">
        <v>2208092.9419999998</v>
      </c>
      <c r="C66">
        <v>6731136.6799999997</v>
      </c>
      <c r="D66">
        <v>147.83699999999999</v>
      </c>
      <c r="E66">
        <v>795</v>
      </c>
      <c r="F66" s="58">
        <v>44.155868869942672</v>
      </c>
      <c r="G66" s="34">
        <v>0.73761600000000005</v>
      </c>
      <c r="H66" s="34">
        <v>1.0369780632000001</v>
      </c>
      <c r="I66" s="34">
        <v>0.29936206320000008</v>
      </c>
      <c r="J66" s="34">
        <v>0.29936206320000008</v>
      </c>
      <c r="L66" s="34">
        <v>44.155868869942672</v>
      </c>
      <c r="M66" s="34">
        <v>0.77723999999999993</v>
      </c>
      <c r="N66" s="34">
        <v>0.62168349119999999</v>
      </c>
      <c r="O66" s="34">
        <v>-0.15555650879999994</v>
      </c>
      <c r="P66" s="34">
        <v>0.15555650879999994</v>
      </c>
    </row>
    <row r="67">
      <c r="A67">
        <v>1059</v>
      </c>
      <c r="B67">
        <v>2208081.4219999998</v>
      </c>
      <c r="C67">
        <v>6731138.9440000001</v>
      </c>
      <c r="D67">
        <v>148.071</v>
      </c>
      <c r="E67">
        <v>795</v>
      </c>
      <c r="F67" s="58">
        <v>47.734331157064545</v>
      </c>
      <c r="G67" s="34">
        <v>0.67970399999999997</v>
      </c>
      <c r="H67" s="34">
        <v>0.91093869120000004</v>
      </c>
      <c r="I67" s="34">
        <v>0.23123469119999998</v>
      </c>
      <c r="J67" s="34">
        <v>0.23123469119999998</v>
      </c>
      <c r="L67" s="34">
        <v>47.734331157064545</v>
      </c>
      <c r="M67" s="34">
        <v>0.64999209600000007</v>
      </c>
      <c r="N67" s="34">
        <v>0.57208277760000004</v>
      </c>
      <c r="O67" s="34">
        <v>-0.077909318400000024</v>
      </c>
      <c r="P67" s="34">
        <v>0.077909318400000024</v>
      </c>
    </row>
    <row r="68">
      <c r="A68">
        <v>1060</v>
      </c>
      <c r="B68">
        <v>2208068.6519999998</v>
      </c>
      <c r="C68">
        <v>6731143.1449999996</v>
      </c>
      <c r="D68">
        <v>148.446</v>
      </c>
      <c r="E68">
        <v>795</v>
      </c>
      <c r="F68" s="58">
        <v>51.831837503032254</v>
      </c>
      <c r="G68" s="34">
        <v>0.521208</v>
      </c>
      <c r="H68" s="34">
        <v>0.69095660640000001</v>
      </c>
      <c r="I68" s="34">
        <v>0.16974860640000003</v>
      </c>
      <c r="J68" s="34">
        <v>0.16974860640000003</v>
      </c>
      <c r="L68" s="34">
        <v>51.831837503032254</v>
      </c>
      <c r="M68" s="34">
        <v>0.53339999999999999</v>
      </c>
      <c r="N68" s="34">
        <v>0.45349454640000003</v>
      </c>
      <c r="O68" s="34">
        <v>-0.079905453599999995</v>
      </c>
      <c r="P68" s="34">
        <v>0.079905453599999995</v>
      </c>
    </row>
    <row r="69">
      <c r="A69">
        <v>1061</v>
      </c>
      <c r="B69">
        <v>2208057.4900000002</v>
      </c>
      <c r="C69">
        <v>6731145.9029999999</v>
      </c>
      <c r="D69">
        <v>149.215</v>
      </c>
      <c r="E69">
        <v>795</v>
      </c>
      <c r="F69" s="58">
        <v>55.336332522396447</v>
      </c>
      <c r="G69" s="34">
        <v>0.29870400000000003</v>
      </c>
      <c r="H69" s="34">
        <v>0.2557558512</v>
      </c>
      <c r="I69" s="34">
        <v>-0.042948148799999995</v>
      </c>
      <c r="J69" s="34">
        <v>0.042948148799999995</v>
      </c>
      <c r="L69" s="34">
        <v>55.336332522396447</v>
      </c>
      <c r="M69" s="34">
        <v>0.38999525760000009</v>
      </c>
      <c r="N69" s="34">
        <v>0.10041575040000002</v>
      </c>
      <c r="O69" s="34">
        <v>-0.28957950720000009</v>
      </c>
      <c r="P69" s="34">
        <v>0.28957950720000009</v>
      </c>
    </row>
    <row r="70">
      <c r="A70" s="1" t="s">
        <v>51</v>
      </c>
    </row>
    <row r="71">
      <c r="A71">
        <v>1062</v>
      </c>
      <c r="B71">
        <v>2208497.594</v>
      </c>
      <c r="C71">
        <v>6732151.6979999999</v>
      </c>
      <c r="D71">
        <v>151.54400000000001</v>
      </c>
      <c r="E71">
        <v>795</v>
      </c>
      <c r="F71" s="58">
        <v>3.282362386970433</v>
      </c>
      <c r="G71" s="34">
        <v>0.24993599999999999</v>
      </c>
      <c r="H71" s="34">
        <v>0.066800577600000008</v>
      </c>
      <c r="I71" s="34">
        <v>-0.1831354224</v>
      </c>
      <c r="J71" s="34">
        <v>0.1831354224</v>
      </c>
      <c r="L71" s="34">
        <v>3.282362386970433</v>
      </c>
      <c r="M71" s="34">
        <v>0.15999805440000003</v>
      </c>
      <c r="N71" s="34">
        <v>0.0240904776</v>
      </c>
      <c r="O71" s="34">
        <v>-0.13590757680000001</v>
      </c>
      <c r="P71" s="34">
        <v>0.13590757680000001</v>
      </c>
    </row>
    <row r="72">
      <c r="A72">
        <v>1063</v>
      </c>
      <c r="B72">
        <v>2208512.145</v>
      </c>
      <c r="C72">
        <v>6732150.0889999997</v>
      </c>
      <c r="D72">
        <v>150.34200000000001</v>
      </c>
      <c r="E72">
        <v>795</v>
      </c>
      <c r="F72" s="58">
        <v>7.7445394690746481</v>
      </c>
      <c r="G72" s="34">
        <v>0.53644800000000004</v>
      </c>
      <c r="H72" s="34">
        <v>0.18371759039999999</v>
      </c>
      <c r="I72" s="34">
        <v>-0.35273040960000007</v>
      </c>
      <c r="J72" s="34">
        <v>0.35273040960000007</v>
      </c>
      <c r="L72" s="34">
        <v>7.7445394690746481</v>
      </c>
      <c r="M72" s="34">
        <v>0.51816000000000006</v>
      </c>
      <c r="N72" s="34">
        <v>0.251961396</v>
      </c>
      <c r="O72" s="34">
        <v>-0.26619860400000001</v>
      </c>
      <c r="P72" s="34">
        <v>0.26619860400000001</v>
      </c>
    </row>
    <row r="73">
      <c r="A73">
        <v>1064</v>
      </c>
      <c r="B73">
        <v>2208525.253</v>
      </c>
      <c r="C73">
        <v>6732148.1529999999</v>
      </c>
      <c r="D73">
        <v>150.64500000000001</v>
      </c>
      <c r="E73">
        <v>795</v>
      </c>
      <c r="F73" s="58">
        <v>11.783199968537325</v>
      </c>
      <c r="G73" s="34">
        <v>0.95097600000000004</v>
      </c>
      <c r="H73" s="34">
        <v>0.26690726400000003</v>
      </c>
      <c r="I73" s="34">
        <v>-0.68406873600000007</v>
      </c>
      <c r="J73" s="34">
        <v>0.68406873600000007</v>
      </c>
      <c r="L73" s="34">
        <v>11.783199968537325</v>
      </c>
      <c r="M73" s="34">
        <v>0.39999513600000008</v>
      </c>
      <c r="N73" s="34">
        <v>0.462334356</v>
      </c>
      <c r="O73" s="34">
        <v>0.062339219999999959</v>
      </c>
      <c r="P73" s="34">
        <v>0.062339219999999959</v>
      </c>
    </row>
    <row r="74">
      <c r="A74">
        <v>1065</v>
      </c>
      <c r="B74">
        <v>2208536.727</v>
      </c>
      <c r="C74">
        <v>6732149.1179999998</v>
      </c>
      <c r="D74">
        <v>150.80500000000001</v>
      </c>
      <c r="E74">
        <v>795</v>
      </c>
      <c r="F74" s="58">
        <v>15.292822093180009</v>
      </c>
      <c r="G74" s="34">
        <v>0.85039200000000004</v>
      </c>
      <c r="H74" s="34">
        <v>0.30395265599999999</v>
      </c>
      <c r="I74" s="34">
        <v>-0.54643934400000005</v>
      </c>
      <c r="J74" s="34">
        <v>0.54643934400000005</v>
      </c>
      <c r="L74" s="34">
        <v>15.292822093180009</v>
      </c>
      <c r="M74" s="34">
        <v>0.32999598720000006</v>
      </c>
      <c r="N74" s="34">
        <v>0.68659827120000005</v>
      </c>
      <c r="O74" s="34">
        <v>0.35660228400000005</v>
      </c>
      <c r="P74" s="34">
        <v>0.35660228400000005</v>
      </c>
    </row>
    <row r="75">
      <c r="A75">
        <v>1066</v>
      </c>
      <c r="B75">
        <v>2208548.1880000001</v>
      </c>
      <c r="C75">
        <v>6732147.5640000002</v>
      </c>
      <c r="D75">
        <v>150.74100000000001</v>
      </c>
      <c r="E75">
        <v>795</v>
      </c>
      <c r="F75" s="58">
        <v>18.818100430634349</v>
      </c>
      <c r="G75" s="34">
        <v>0.81991199999999997</v>
      </c>
      <c r="H75" s="34">
        <v>0.2981596272</v>
      </c>
      <c r="I75" s="34">
        <v>-0.52175237280000009</v>
      </c>
      <c r="J75" s="34">
        <v>0.52175237280000009</v>
      </c>
      <c r="L75" s="34">
        <v>18.818100430634349</v>
      </c>
      <c r="M75" s="34">
        <v>0.36999550080000004</v>
      </c>
      <c r="N75" s="34">
        <v>0.89905941599999994</v>
      </c>
      <c r="O75" s="34">
        <v>0.52906391519999996</v>
      </c>
      <c r="P75" s="34">
        <v>0.52906391519999996</v>
      </c>
    </row>
    <row r="76">
      <c r="A76">
        <v>1067</v>
      </c>
      <c r="B76">
        <v>2208560.963</v>
      </c>
      <c r="C76">
        <v>6732145.2970000003</v>
      </c>
      <c r="D76">
        <v>150.80600000000001</v>
      </c>
      <c r="E76">
        <v>795</v>
      </c>
      <c r="F76" s="58">
        <v>22.772754620789836</v>
      </c>
      <c r="G76" s="34">
        <v>0.73761600000000005</v>
      </c>
      <c r="H76" s="34">
        <v>0.33600664320000001</v>
      </c>
      <c r="I76" s="34">
        <v>-0.40160935679999998</v>
      </c>
      <c r="J76" s="34">
        <v>0.40160935679999998</v>
      </c>
      <c r="L76" s="34">
        <v>22.772754620789836</v>
      </c>
      <c r="M76" s="34">
        <v>0.35052</v>
      </c>
      <c r="N76" s="34">
        <v>1.1054303519999999</v>
      </c>
      <c r="O76" s="34">
        <v>0.75491035200000001</v>
      </c>
      <c r="P76" s="34">
        <v>0.75491035200000001</v>
      </c>
    </row>
    <row r="77">
      <c r="A77" s="1" t="s">
        <v>53</v>
      </c>
    </row>
    <row r="78">
      <c r="A78">
        <v>1068</v>
      </c>
      <c r="B78">
        <v>2207844.2220000001</v>
      </c>
      <c r="C78">
        <v>6730533.284</v>
      </c>
      <c r="D78">
        <v>148.59100000000001</v>
      </c>
      <c r="E78">
        <v>795</v>
      </c>
      <c r="F78" s="58">
        <v>2.407030610648393</v>
      </c>
      <c r="G78" s="34">
        <v>0.280416</v>
      </c>
      <c r="H78" s="34">
        <v>0.12961040880000002</v>
      </c>
      <c r="I78" s="34">
        <v>-0.15080559120000001</v>
      </c>
      <c r="J78" s="34">
        <v>0.15080559120000001</v>
      </c>
      <c r="L78" s="34">
        <v>2.407030610648393</v>
      </c>
      <c r="M78" s="34">
        <v>0.13999829760000002</v>
      </c>
      <c r="N78" s="34">
        <v>0</v>
      </c>
      <c r="O78" s="34">
        <v>-0.13999829760000002</v>
      </c>
      <c r="P78" s="34">
        <v>0.13999829760000002</v>
      </c>
    </row>
    <row r="79">
      <c r="A79">
        <v>1069</v>
      </c>
      <c r="B79">
        <v>2207852.96</v>
      </c>
      <c r="C79">
        <v>6730531.3329999996</v>
      </c>
      <c r="D79">
        <v>148.08099999999999</v>
      </c>
      <c r="E79">
        <v>795</v>
      </c>
      <c r="F79" s="58">
        <v>5.1359532852499274</v>
      </c>
      <c r="G79" s="34">
        <v>0.32918400000000003</v>
      </c>
      <c r="H79" s="34">
        <v>0.33172511760000006</v>
      </c>
      <c r="I79" s="34">
        <v>0.0025411176000000118</v>
      </c>
      <c r="J79" s="34">
        <v>0.0025411176000000118</v>
      </c>
      <c r="L79" s="34">
        <v>5.1359532852499274</v>
      </c>
      <c r="M79" s="34">
        <v>0.28999647359999997</v>
      </c>
      <c r="N79" s="34">
        <v>0.13148553840000002</v>
      </c>
      <c r="O79" s="34">
        <v>-0.15851093520000001</v>
      </c>
      <c r="P79" s="34">
        <v>0.15851093520000001</v>
      </c>
    </row>
    <row r="80">
      <c r="A80">
        <v>1070</v>
      </c>
      <c r="B80">
        <v>2207863.2349999999</v>
      </c>
      <c r="C80">
        <v>6730528.6310000001</v>
      </c>
      <c r="D80">
        <v>147.74000000000001</v>
      </c>
      <c r="E80">
        <v>795</v>
      </c>
      <c r="F80" s="58">
        <v>8.3742496580448709</v>
      </c>
      <c r="G80" s="34">
        <v>0.47244000000000003</v>
      </c>
      <c r="H80" s="34">
        <v>0.70645294320000007</v>
      </c>
      <c r="I80" s="34">
        <v>0.23401294320000005</v>
      </c>
      <c r="J80" s="34">
        <v>0.23401294320000005</v>
      </c>
      <c r="L80" s="34">
        <v>8.3742496580448709</v>
      </c>
      <c r="M80" s="34">
        <v>0.33528000000000002</v>
      </c>
      <c r="N80" s="34">
        <v>0.4004648328</v>
      </c>
      <c r="O80" s="34">
        <v>0.065184832799999953</v>
      </c>
      <c r="P80" s="34">
        <v>0.065184832799999953</v>
      </c>
    </row>
    <row r="81">
      <c r="A81">
        <v>1071</v>
      </c>
      <c r="B81">
        <v>2207873.2889999999</v>
      </c>
      <c r="C81">
        <v>6730526.1780000003</v>
      </c>
      <c r="D81">
        <v>147.18000000000001</v>
      </c>
      <c r="E81">
        <v>795</v>
      </c>
      <c r="F81" s="58">
        <v>11.528600177053738</v>
      </c>
      <c r="G81" s="34">
        <v>0.50901600000000002</v>
      </c>
      <c r="H81" s="34">
        <v>0.812732436</v>
      </c>
      <c r="I81" s="34">
        <v>0.30371643600000003</v>
      </c>
      <c r="J81" s="34">
        <v>0.30371643600000003</v>
      </c>
      <c r="L81" s="34">
        <v>11.528600177053738</v>
      </c>
      <c r="M81" s="34">
        <v>0.50999379840000003</v>
      </c>
      <c r="N81" s="34">
        <v>0.49965041040000002</v>
      </c>
      <c r="O81" s="34">
        <v>-0.010343388000000016</v>
      </c>
      <c r="P81" s="34">
        <v>0.010343388000000016</v>
      </c>
    </row>
    <row r="82">
      <c r="A82">
        <v>1072</v>
      </c>
      <c r="B82">
        <v>2207886.2969999998</v>
      </c>
      <c r="C82">
        <v>6730522.9539999999</v>
      </c>
      <c r="D82">
        <v>147.113</v>
      </c>
      <c r="E82">
        <v>795</v>
      </c>
      <c r="F82" s="58">
        <v>15.613400550002098</v>
      </c>
      <c r="G82" s="34">
        <v>0.47244000000000003</v>
      </c>
      <c r="H82" s="34">
        <v>0.84631621440000004</v>
      </c>
      <c r="I82" s="34">
        <v>0.37387621440000002</v>
      </c>
      <c r="J82" s="34">
        <v>0.37387621440000002</v>
      </c>
      <c r="L82" s="34">
        <v>15.613400550002098</v>
      </c>
      <c r="M82" s="34">
        <v>0.57911999999999997</v>
      </c>
      <c r="N82" s="34">
        <v>0.66496996799999997</v>
      </c>
      <c r="O82" s="34">
        <v>0.085849968000000013</v>
      </c>
      <c r="P82" s="34">
        <v>0.085849968000000013</v>
      </c>
    </row>
    <row r="83">
      <c r="A83">
        <v>1073</v>
      </c>
      <c r="B83">
        <v>2207898.1540000001</v>
      </c>
      <c r="C83">
        <v>6730519.8099999996</v>
      </c>
      <c r="D83">
        <v>146.953</v>
      </c>
      <c r="E83">
        <v>795</v>
      </c>
      <c r="F83" s="58">
        <v>19.352306315844658</v>
      </c>
      <c r="G83" s="34">
        <v>0.78028800000000009</v>
      </c>
      <c r="H83" s="34">
        <v>0.81955325040000004</v>
      </c>
      <c r="I83" s="34">
        <v>0.039265250400000042</v>
      </c>
      <c r="J83" s="34">
        <v>0.039265250400000042</v>
      </c>
      <c r="L83" s="34">
        <v>19.352306315844658</v>
      </c>
      <c r="M83" s="34">
        <v>0.60999258240000009</v>
      </c>
      <c r="N83" s="34">
        <v>0.60479909519999997</v>
      </c>
      <c r="O83" s="34">
        <v>-0.0051934872000000756</v>
      </c>
      <c r="P83" s="34">
        <v>0.0051934872000000756</v>
      </c>
    </row>
    <row r="84">
      <c r="A84">
        <v>1074</v>
      </c>
      <c r="B84">
        <v>2207909.1499999999</v>
      </c>
      <c r="C84">
        <v>6730516.4900000002</v>
      </c>
      <c r="D84">
        <v>146.87100000000001</v>
      </c>
      <c r="E84">
        <v>795</v>
      </c>
      <c r="F84" s="58">
        <v>22.853321643752519</v>
      </c>
      <c r="G84" s="34">
        <v>0.95097600000000004</v>
      </c>
      <c r="H84" s="34">
        <v>0.829523868</v>
      </c>
      <c r="I84" s="34">
        <v>-0.1214521320000001</v>
      </c>
      <c r="J84" s="34">
        <v>0.1214521320000001</v>
      </c>
      <c r="L84" s="34">
        <v>22.853321643752519</v>
      </c>
      <c r="M84" s="34">
        <v>0.65532000000000001</v>
      </c>
      <c r="N84" s="34">
        <v>0.60255576720000004</v>
      </c>
      <c r="O84" s="34">
        <v>-0.052764232800000005</v>
      </c>
      <c r="P84" s="34">
        <v>0.052764232800000005</v>
      </c>
    </row>
    <row r="85">
      <c r="A85">
        <v>1075</v>
      </c>
      <c r="B85">
        <v>2207921.2620000001</v>
      </c>
      <c r="C85">
        <v>6730514.227</v>
      </c>
      <c r="D85">
        <v>146.81100000000001</v>
      </c>
      <c r="E85">
        <v>795</v>
      </c>
      <c r="F85" s="58">
        <v>26.608943919256891</v>
      </c>
      <c r="G85" s="34">
        <v>1.008888</v>
      </c>
      <c r="H85" s="34">
        <v>0.92537737200000003</v>
      </c>
      <c r="I85" s="34">
        <v>-0.083510628000000045</v>
      </c>
      <c r="J85" s="34">
        <v>0.083510628000000045</v>
      </c>
      <c r="L85" s="34">
        <v>26.608943919256891</v>
      </c>
      <c r="M85" s="34">
        <v>0.66999185280000018</v>
      </c>
      <c r="N85" s="34">
        <v>0.64614552000000003</v>
      </c>
      <c r="O85" s="34">
        <v>-0.023846332800000127</v>
      </c>
      <c r="P85" s="34">
        <v>0.023846332800000127</v>
      </c>
    </row>
    <row r="86">
      <c r="A86">
        <v>1076</v>
      </c>
      <c r="B86">
        <v>2207935.8760000002</v>
      </c>
      <c r="C86">
        <v>6730511.4239999996</v>
      </c>
      <c r="D86">
        <v>146.65799999999999</v>
      </c>
      <c r="E86">
        <v>795</v>
      </c>
      <c r="F86" s="58">
        <v>31.144484727062302</v>
      </c>
      <c r="G86" s="34">
        <v>1.1826240000000001</v>
      </c>
      <c r="H86" s="34">
        <v>1.0223808863999999</v>
      </c>
      <c r="I86" s="34">
        <v>-0.16024311360000004</v>
      </c>
      <c r="J86" s="34">
        <v>0.16024311360000004</v>
      </c>
      <c r="L86" s="34">
        <v>31.144484727062302</v>
      </c>
      <c r="M86" s="34">
        <v>0.74676000000000009</v>
      </c>
      <c r="N86" s="34">
        <v>0.71142758400000006</v>
      </c>
      <c r="O86" s="34">
        <v>-0.035332416000000005</v>
      </c>
      <c r="P86" s="34">
        <v>0.035332416000000005</v>
      </c>
    </row>
    <row r="87">
      <c r="A87">
        <v>1077</v>
      </c>
      <c r="B87">
        <v>2207948.5690000001</v>
      </c>
      <c r="C87">
        <v>6730507.6440000003</v>
      </c>
      <c r="D87">
        <v>147.065</v>
      </c>
      <c r="E87">
        <v>795</v>
      </c>
      <c r="F87" s="58">
        <v>35.181222705867924</v>
      </c>
      <c r="G87" s="34">
        <v>1.0911840000000002</v>
      </c>
      <c r="H87" s="34">
        <v>1.0197370512000001</v>
      </c>
      <c r="I87" s="34">
        <v>-0.071446948799999965</v>
      </c>
      <c r="J87" s="34">
        <v>0.071446948799999965</v>
      </c>
      <c r="L87" s="34">
        <v>35.181222705867924</v>
      </c>
      <c r="M87" s="34">
        <v>0.65999197440000013</v>
      </c>
      <c r="N87" s="34">
        <v>0.75948265680000016</v>
      </c>
      <c r="O87" s="34">
        <v>0.09949068240000003</v>
      </c>
      <c r="P87" s="34">
        <v>0.09949068240000003</v>
      </c>
    </row>
    <row r="88">
      <c r="A88">
        <v>1078</v>
      </c>
      <c r="B88">
        <v>2207959.0619999999</v>
      </c>
      <c r="C88">
        <v>6730504.5449999999</v>
      </c>
      <c r="D88">
        <v>146.964</v>
      </c>
      <c r="E88">
        <v>795</v>
      </c>
      <c r="F88" s="58">
        <v>38.516058574937063</v>
      </c>
      <c r="G88" s="34">
        <v>1.0850880000000001</v>
      </c>
      <c r="H88" s="34">
        <v>0.90126860640000006</v>
      </c>
      <c r="I88" s="34">
        <v>-0.18381939360000005</v>
      </c>
      <c r="J88" s="34">
        <v>0.18381939360000005</v>
      </c>
      <c r="L88" s="34">
        <v>38.516058574937063</v>
      </c>
      <c r="M88" s="34">
        <v>0.59436</v>
      </c>
      <c r="N88" s="34">
        <v>0.62065814400000008</v>
      </c>
      <c r="O88" s="34">
        <v>0.026298144000000041</v>
      </c>
      <c r="P88" s="34">
        <v>0.026298144000000041</v>
      </c>
    </row>
    <row r="89">
      <c r="A89">
        <v>1079</v>
      </c>
      <c r="B89">
        <v>2207971.247</v>
      </c>
      <c r="C89">
        <v>6730502.1270000003</v>
      </c>
      <c r="D89">
        <v>147.393</v>
      </c>
      <c r="E89">
        <v>795</v>
      </c>
      <c r="F89" s="58">
        <v>42.302466542619726</v>
      </c>
      <c r="G89" s="34">
        <v>0.841248</v>
      </c>
      <c r="H89" s="34">
        <v>0.77819493839999998</v>
      </c>
      <c r="I89" s="34">
        <v>-0.063053061599999974</v>
      </c>
      <c r="J89" s="34">
        <v>0.063053061599999974</v>
      </c>
      <c r="L89" s="34">
        <v>42.302466542619726</v>
      </c>
      <c r="M89" s="34">
        <v>0.46999428480000005</v>
      </c>
      <c r="N89" s="34">
        <v>0.60258807600000008</v>
      </c>
      <c r="O89" s="34">
        <v>0.13259379120000003</v>
      </c>
      <c r="P89" s="34">
        <v>0.13259379120000003</v>
      </c>
    </row>
    <row r="90">
      <c r="A90">
        <v>1080</v>
      </c>
      <c r="B90">
        <v>2207986.4589999998</v>
      </c>
      <c r="C90">
        <v>6730498.517</v>
      </c>
      <c r="D90">
        <v>147.476</v>
      </c>
      <c r="E90">
        <v>795</v>
      </c>
      <c r="F90" s="58">
        <v>47.067856817921815</v>
      </c>
      <c r="G90" s="34">
        <v>0.43891200000000002</v>
      </c>
      <c r="H90" s="34">
        <v>0.65543887199999995</v>
      </c>
      <c r="I90" s="34">
        <v>0.21652687199999995</v>
      </c>
      <c r="J90" s="34">
        <v>0.21652687199999995</v>
      </c>
      <c r="L90" s="34">
        <v>47.067856817921815</v>
      </c>
      <c r="M90" s="34">
        <v>0.41148000000000007</v>
      </c>
      <c r="N90" s="34">
        <v>0.52570166640000004</v>
      </c>
      <c r="O90" s="34">
        <v>0.11422166639999995</v>
      </c>
      <c r="P90" s="34">
        <v>0.11422166639999995</v>
      </c>
    </row>
    <row r="91">
      <c r="A91">
        <v>1081</v>
      </c>
      <c r="B91">
        <v>2207999.2749999999</v>
      </c>
      <c r="C91">
        <v>6730495.2079999996</v>
      </c>
      <c r="D91">
        <v>147.78200000000001</v>
      </c>
      <c r="E91">
        <v>795</v>
      </c>
      <c r="F91" s="58">
        <v>51.102277595897462</v>
      </c>
      <c r="G91" s="34">
        <v>0.11887200000000001</v>
      </c>
      <c r="H91" s="34">
        <v>0.53004171360000008</v>
      </c>
      <c r="I91" s="34">
        <v>0.41116971359999999</v>
      </c>
      <c r="J91" s="34">
        <v>0.41116971359999999</v>
      </c>
      <c r="L91" s="34">
        <v>51.102277595897462</v>
      </c>
      <c r="M91" s="34">
        <v>0.26999671680000004</v>
      </c>
      <c r="N91" s="34">
        <v>0.38755259040000001</v>
      </c>
      <c r="O91" s="34">
        <v>0.1175558736</v>
      </c>
      <c r="P91" s="34">
        <v>0.1175558736</v>
      </c>
    </row>
    <row r="92">
      <c r="A92">
        <v>1082</v>
      </c>
      <c r="B92">
        <v>2208011.3810000001</v>
      </c>
      <c r="C92">
        <v>6730491.3629999999</v>
      </c>
      <c r="D92">
        <v>147.83500000000001</v>
      </c>
      <c r="E92">
        <v>795</v>
      </c>
      <c r="F92" s="58">
        <v>54.973828682786795</v>
      </c>
      <c r="G92" s="34">
        <v>0.054864000000000003</v>
      </c>
      <c r="H92" s="34">
        <v>0.098045016000000013</v>
      </c>
      <c r="I92" s="34">
        <v>0.04318101600000001</v>
      </c>
      <c r="J92" s="34">
        <v>0.04318101600000001</v>
      </c>
      <c r="L92" s="34">
        <v>54.973828682786795</v>
      </c>
      <c r="M92" s="34">
        <v>0.32004000000000005</v>
      </c>
      <c r="N92" s="34">
        <v>0</v>
      </c>
      <c r="O92" s="34">
        <v>-0.32004000000000005</v>
      </c>
      <c r="P92" s="34">
        <v>0.32004000000000005</v>
      </c>
    </row>
    <row r="93">
      <c r="A93">
        <v>1083</v>
      </c>
      <c r="B93">
        <v>2208022.0159999998</v>
      </c>
      <c r="C93">
        <v>6730488.7019999996</v>
      </c>
      <c r="D93">
        <v>147.596</v>
      </c>
      <c r="E93">
        <v>795</v>
      </c>
      <c r="F93" s="58">
        <v>58.315306278539438</v>
      </c>
      <c r="G93" s="34">
        <v>0.030480000000000004</v>
      </c>
      <c r="H93" s="34">
        <v>0.048929239200000002</v>
      </c>
      <c r="I93" s="34">
        <v>0.018449239200000002</v>
      </c>
      <c r="J93" s="34">
        <v>0.018449239200000002</v>
      </c>
      <c r="L93" s="34">
        <v>58.315306278539438</v>
      </c>
      <c r="M93" s="34">
        <v>0.42999477120000001</v>
      </c>
      <c r="N93" s="34">
        <v>0</v>
      </c>
      <c r="O93" s="34">
        <v>-0.42999477120000001</v>
      </c>
      <c r="P93" s="34">
        <v>0.42999477120000001</v>
      </c>
    </row>
    <row r="94">
      <c r="A94" s="33" t="s">
        <v>93</v>
      </c>
      <c r="B94" s="4"/>
      <c r="C94" s="4"/>
      <c r="D94" s="4"/>
      <c r="E94" s="4"/>
      <c r="F94" s="57"/>
      <c r="G94" s="4"/>
      <c r="H94" s="4"/>
      <c r="I94" s="4"/>
      <c r="J94" s="4"/>
      <c r="L94" s="4"/>
      <c r="M94" s="4"/>
      <c r="N94" s="4"/>
      <c r="O94" s="4"/>
      <c r="P94" s="4"/>
    </row>
    <row r="95">
      <c r="A95">
        <v>1084</v>
      </c>
      <c r="B95">
        <v>2202392.3769999999</v>
      </c>
      <c r="C95">
        <v>6718948.432</v>
      </c>
      <c r="D95">
        <v>108.044</v>
      </c>
      <c r="E95">
        <v>539</v>
      </c>
      <c r="F95" s="58">
        <v>1.4373899094844029</v>
      </c>
      <c r="G95" s="34">
        <v>0.22860000000000003</v>
      </c>
      <c r="H95" s="34">
        <v>0.81122611440000014</v>
      </c>
      <c r="I95" s="34">
        <v>0.58262611440000012</v>
      </c>
      <c r="J95" s="34">
        <v>0.58262611440000012</v>
      </c>
      <c r="L95" s="34">
        <v>1.4373899094844029</v>
      </c>
      <c r="M95" s="34">
        <v>0.27999659520000003</v>
      </c>
      <c r="N95" s="34">
        <v>0.14101541519999999</v>
      </c>
      <c r="O95" s="34">
        <v>-0.13898118000000004</v>
      </c>
      <c r="P95" s="34">
        <v>0.13898118000000004</v>
      </c>
    </row>
    <row r="96">
      <c r="A96">
        <v>1085</v>
      </c>
      <c r="B96">
        <v>2202386.7170000002</v>
      </c>
      <c r="C96">
        <v>6718955.3770000003</v>
      </c>
      <c r="D96">
        <v>107.562</v>
      </c>
      <c r="E96">
        <v>539</v>
      </c>
      <c r="F96" s="58">
        <v>4.1681772097279728</v>
      </c>
      <c r="G96" s="34">
        <v>1.1826240000000001</v>
      </c>
      <c r="H96" s="34">
        <v>1.4803337424</v>
      </c>
      <c r="I96" s="34">
        <v>0.29770974240000003</v>
      </c>
      <c r="J96" s="34">
        <v>0.29770974240000003</v>
      </c>
      <c r="L96" s="34">
        <v>4.1681772097279728</v>
      </c>
      <c r="M96" s="34">
        <v>0.48768000000000006</v>
      </c>
      <c r="N96" s="34">
        <v>0.47009212560000002</v>
      </c>
      <c r="O96" s="34">
        <v>-0.017587874400000019</v>
      </c>
      <c r="P96" s="34">
        <v>0.017587874400000019</v>
      </c>
    </row>
    <row r="97">
      <c r="A97">
        <v>1086</v>
      </c>
      <c r="B97">
        <v>2202383.1579999998</v>
      </c>
      <c r="C97">
        <v>6718962.0089999996</v>
      </c>
      <c r="D97">
        <v>106.89</v>
      </c>
      <c r="E97">
        <v>539</v>
      </c>
      <c r="F97" s="58">
        <v>6.4622888873858653</v>
      </c>
      <c r="G97" s="34">
        <v>1.3685520000000002</v>
      </c>
      <c r="H97" s="34">
        <v>1.7657652263999999</v>
      </c>
      <c r="I97" s="34">
        <v>0.39721322639999984</v>
      </c>
      <c r="J97" s="34">
        <v>0.39721322639999984</v>
      </c>
      <c r="L97" s="34">
        <v>6.4622888873858653</v>
      </c>
      <c r="M97" s="34">
        <v>0.63999221760000014</v>
      </c>
      <c r="N97" s="34">
        <v>0.6753551136</v>
      </c>
      <c r="O97" s="34">
        <v>0.035362895999999935</v>
      </c>
      <c r="P97" s="34">
        <v>0.035362895999999935</v>
      </c>
    </row>
    <row r="98">
      <c r="A98">
        <v>1087</v>
      </c>
      <c r="B98">
        <v>2202378.5819999999</v>
      </c>
      <c r="C98">
        <v>6718969.1610000003</v>
      </c>
      <c r="D98">
        <v>106.843</v>
      </c>
      <c r="E98">
        <v>539</v>
      </c>
      <c r="F98" s="58">
        <v>9.0502343870260145</v>
      </c>
      <c r="G98" s="34">
        <v>1.231392</v>
      </c>
      <c r="H98" s="34">
        <v>1.9232791608000002</v>
      </c>
      <c r="I98" s="34">
        <v>0.69188716080000001</v>
      </c>
      <c r="J98" s="34">
        <v>0.69188716080000001</v>
      </c>
      <c r="L98" s="34">
        <v>9.0502343870260145</v>
      </c>
      <c r="M98" s="34">
        <v>0.45720000000000005</v>
      </c>
      <c r="N98" s="34">
        <v>0.74114101200000004</v>
      </c>
      <c r="O98" s="34">
        <v>0.28394101199999999</v>
      </c>
      <c r="P98" s="34">
        <v>0.28394101199999999</v>
      </c>
    </row>
    <row r="99">
      <c r="A99">
        <v>1088</v>
      </c>
      <c r="B99">
        <v>2202373.1260000002</v>
      </c>
      <c r="C99">
        <v>6718977.568</v>
      </c>
      <c r="D99">
        <v>107.124</v>
      </c>
      <c r="E99">
        <v>539</v>
      </c>
      <c r="F99" s="58">
        <v>12.105017554504954</v>
      </c>
      <c r="G99" s="34">
        <v>1.3655040000000003</v>
      </c>
      <c r="H99" s="34">
        <v>1.9782160080000002</v>
      </c>
      <c r="I99" s="34">
        <v>0.61271200800000003</v>
      </c>
      <c r="J99" s="34">
        <v>0.61271200800000003</v>
      </c>
      <c r="L99" s="34">
        <v>12.105017554504954</v>
      </c>
      <c r="M99" s="34">
        <v>0.60960000000000003</v>
      </c>
      <c r="N99" s="34">
        <v>0.57811629360000005</v>
      </c>
      <c r="O99" s="34">
        <v>-0.031483706400000026</v>
      </c>
      <c r="P99" s="34">
        <v>0.031483706400000026</v>
      </c>
    </row>
    <row r="100">
      <c r="A100">
        <v>1089</v>
      </c>
      <c r="B100">
        <v>2202367.2239999999</v>
      </c>
      <c r="C100">
        <v>6718985.5410000002</v>
      </c>
      <c r="D100">
        <v>108.384</v>
      </c>
      <c r="E100">
        <v>539</v>
      </c>
      <c r="F100" s="58">
        <v>15.128571073031104</v>
      </c>
      <c r="G100" s="34">
        <v>1.0698479999999999</v>
      </c>
      <c r="H100" s="34">
        <v>1.7478195167999999</v>
      </c>
      <c r="I100" s="34">
        <v>0.67797151680000001</v>
      </c>
      <c r="J100" s="34">
        <v>0.67797151680000001</v>
      </c>
      <c r="L100" s="34">
        <v>15.128571073031104</v>
      </c>
      <c r="M100" s="34">
        <v>0.22999720320000003</v>
      </c>
      <c r="N100" s="34">
        <v>0.30992978399999999</v>
      </c>
      <c r="O100" s="34">
        <v>0.079932580799999958</v>
      </c>
      <c r="P100" s="34">
        <v>0.079932580799999958</v>
      </c>
    </row>
    <row r="101">
      <c r="A101">
        <v>1090</v>
      </c>
      <c r="B101">
        <v>2202360.861</v>
      </c>
      <c r="C101">
        <v>6718992.6279999996</v>
      </c>
      <c r="D101">
        <v>107.854</v>
      </c>
      <c r="E101">
        <v>539</v>
      </c>
      <c r="F101" s="58">
        <v>18.03159447420796</v>
      </c>
      <c r="G101" s="34">
        <v>0.27127200000000001</v>
      </c>
      <c r="H101" s="34">
        <v>1.0921608840000001</v>
      </c>
      <c r="I101" s="34">
        <v>0.82088888400000004</v>
      </c>
      <c r="J101" s="34">
        <v>0.82088888400000004</v>
      </c>
      <c r="L101" s="34">
        <v>18.03159447420796</v>
      </c>
      <c r="M101" s="34">
        <v>0.27999659520000003</v>
      </c>
      <c r="N101" s="34">
        <v>0.14971257839999999</v>
      </c>
      <c r="O101" s="34">
        <v>-0.13028401680000004</v>
      </c>
      <c r="P101" s="34">
        <v>0.13028401680000004</v>
      </c>
    </row>
    <row r="102">
      <c r="A102">
        <v>1091</v>
      </c>
      <c r="B102">
        <v>2202353.551</v>
      </c>
      <c r="C102">
        <v>6718999.5580000002</v>
      </c>
      <c r="D102">
        <v>106.851</v>
      </c>
      <c r="E102">
        <v>539</v>
      </c>
      <c r="F102" s="58">
        <v>21.10177937781415</v>
      </c>
      <c r="G102" s="34">
        <v>1.167384</v>
      </c>
      <c r="H102" s="34">
        <v>0.67377624960000004</v>
      </c>
      <c r="I102" s="34">
        <v>-0.4936077504000001</v>
      </c>
      <c r="J102" s="34">
        <v>0.4936077504000001</v>
      </c>
      <c r="L102" s="34">
        <v>21.10177937781415</v>
      </c>
      <c r="M102" s="34">
        <v>0.54864000000000002</v>
      </c>
      <c r="N102" s="34">
        <v>0.050213666400000002</v>
      </c>
      <c r="O102" s="34">
        <v>-0.49842633359999999</v>
      </c>
      <c r="P102" s="34">
        <v>0.49842633359999999</v>
      </c>
    </row>
    <row r="103">
      <c r="A103">
        <v>1092</v>
      </c>
      <c r="B103">
        <v>2202346.8130000001</v>
      </c>
      <c r="C103">
        <v>6719005.0820000004</v>
      </c>
      <c r="D103">
        <v>107.006</v>
      </c>
      <c r="E103">
        <v>539</v>
      </c>
      <c r="F103" s="58">
        <v>23.757481680473909</v>
      </c>
      <c r="G103" s="34">
        <v>1.0393680000000001</v>
      </c>
      <c r="H103" s="34">
        <v>0.7258083528</v>
      </c>
      <c r="I103" s="34">
        <v>-0.31355964720000012</v>
      </c>
      <c r="J103" s="34">
        <v>0.31355964720000012</v>
      </c>
      <c r="L103" s="34">
        <v>23.757481680473909</v>
      </c>
      <c r="M103" s="34">
        <v>0.57999294719999994</v>
      </c>
      <c r="N103" s="34">
        <v>0.038251790399999999</v>
      </c>
      <c r="O103" s="34">
        <v>-0.54174115680000001</v>
      </c>
      <c r="P103" s="34">
        <v>0.54174115680000001</v>
      </c>
    </row>
    <row r="104">
      <c r="A104">
        <v>1093</v>
      </c>
      <c r="B104">
        <v>2202339.4559999998</v>
      </c>
      <c r="C104">
        <v>6719010.9800000004</v>
      </c>
      <c r="D104">
        <v>106.604</v>
      </c>
      <c r="E104">
        <v>539</v>
      </c>
      <c r="F104" s="58">
        <v>26.631534817805363</v>
      </c>
      <c r="G104" s="34">
        <v>0.37185600000000002</v>
      </c>
      <c r="H104" s="34">
        <v>0.7029462192</v>
      </c>
      <c r="I104" s="34">
        <v>0.33109021920000004</v>
      </c>
      <c r="J104" s="34">
        <v>0.33109021920000004</v>
      </c>
      <c r="L104" s="34">
        <v>26.631534817805363</v>
      </c>
      <c r="M104" s="34">
        <v>0.73152000000000006</v>
      </c>
      <c r="N104" s="34">
        <v>0.036435792000000002</v>
      </c>
      <c r="O104" s="34">
        <v>-0.69508420799999993</v>
      </c>
      <c r="P104" s="34">
        <v>0.69508420799999993</v>
      </c>
    </row>
    <row r="105">
      <c r="A105">
        <v>1094</v>
      </c>
      <c r="B105">
        <v>2202331.2009999999</v>
      </c>
      <c r="C105">
        <v>6719018.3679999998</v>
      </c>
      <c r="D105">
        <v>107.929</v>
      </c>
      <c r="E105">
        <v>539</v>
      </c>
      <c r="F105" s="58">
        <v>30.008184673924305</v>
      </c>
      <c r="G105" s="34">
        <v>1.1399520000000001</v>
      </c>
      <c r="H105" s="34">
        <v>0.57540570720000006</v>
      </c>
      <c r="I105" s="34">
        <v>-0.56454629280000002</v>
      </c>
      <c r="J105" s="34">
        <v>0.56454629280000002</v>
      </c>
      <c r="L105" s="34">
        <v>30.008184673924305</v>
      </c>
      <c r="M105" s="34">
        <v>0.33999586560000011</v>
      </c>
      <c r="N105" s="34">
        <v>0.0502560336</v>
      </c>
      <c r="O105" s="34">
        <v>-0.28973983200000009</v>
      </c>
      <c r="P105" s="34">
        <v>0.28973983200000009</v>
      </c>
    </row>
    <row r="106">
      <c r="A106">
        <v>1095</v>
      </c>
      <c r="B106">
        <v>2202319.3999999999</v>
      </c>
      <c r="C106">
        <v>6719026.1859999998</v>
      </c>
      <c r="D106">
        <v>108.361</v>
      </c>
      <c r="E106">
        <v>539</v>
      </c>
      <c r="F106" s="58">
        <v>34.322851534989212</v>
      </c>
      <c r="G106" s="34">
        <v>0.25603199999999998</v>
      </c>
      <c r="H106" s="34">
        <v>0.48931220400000003</v>
      </c>
      <c r="I106" s="34">
        <v>0.23328020400000005</v>
      </c>
      <c r="J106" s="34">
        <v>0.23328020400000005</v>
      </c>
      <c r="L106" s="34">
        <v>34.322851534989212</v>
      </c>
      <c r="M106" s="34">
        <v>0.18288000000000001</v>
      </c>
      <c r="N106" s="34">
        <v>0.079941419999999999</v>
      </c>
      <c r="O106" s="34">
        <v>-0.10293858</v>
      </c>
      <c r="P106" s="34">
        <v>0.10293858</v>
      </c>
    </row>
    <row r="107">
      <c r="A107">
        <v>1096</v>
      </c>
      <c r="B107">
        <v>2202314.426</v>
      </c>
      <c r="C107">
        <v>6719029.2539999997</v>
      </c>
      <c r="D107">
        <v>108.307</v>
      </c>
      <c r="E107">
        <v>539</v>
      </c>
      <c r="F107" s="58">
        <v>36.104127874008398</v>
      </c>
      <c r="G107" s="34">
        <v>0.11887200000000001</v>
      </c>
      <c r="H107" s="34">
        <v>0.38105760720000004</v>
      </c>
      <c r="I107" s="34">
        <v>0.2621856072</v>
      </c>
      <c r="J107" s="34">
        <v>0.2621856072</v>
      </c>
      <c r="L107" s="34">
        <v>36.104127874008398</v>
      </c>
      <c r="M107" s="34">
        <v>0.099998784000000021</v>
      </c>
      <c r="N107" s="34">
        <v>0.086206888800000006</v>
      </c>
      <c r="O107" s="34">
        <v>-0.013791895200000013</v>
      </c>
      <c r="P107" s="34">
        <v>0.013791895200000013</v>
      </c>
    </row>
    <row r="108">
      <c r="A108" s="1" t="s">
        <v>90</v>
      </c>
    </row>
    <row r="109">
      <c r="A109">
        <v>1097</v>
      </c>
      <c r="B109">
        <v>2201807.8119999999</v>
      </c>
      <c r="C109">
        <v>6718418.6390000004</v>
      </c>
      <c r="D109">
        <v>107.675</v>
      </c>
      <c r="E109">
        <v>539</v>
      </c>
      <c r="F109" s="58">
        <v>3.4462369803455877</v>
      </c>
      <c r="G109" s="34">
        <v>0.18897600000000001</v>
      </c>
      <c r="H109" s="34">
        <v>0.084482025599999996</v>
      </c>
      <c r="I109" s="34">
        <v>-0.10449397440000001</v>
      </c>
      <c r="J109" s="34">
        <v>0.10449397440000001</v>
      </c>
      <c r="L109" s="34">
        <v>3.4462369803455877</v>
      </c>
      <c r="M109" s="34">
        <v>0.24999696000000002</v>
      </c>
      <c r="N109" s="34">
        <v>0.092164204799999996</v>
      </c>
      <c r="O109" s="34">
        <v>-0.15783275520000004</v>
      </c>
      <c r="P109" s="34">
        <v>0.15783275520000004</v>
      </c>
    </row>
    <row r="110">
      <c r="A110">
        <v>1098</v>
      </c>
      <c r="B110">
        <v>2201817.0260000001</v>
      </c>
      <c r="C110">
        <v>6718411.0839999998</v>
      </c>
      <c r="D110">
        <v>106.994</v>
      </c>
      <c r="E110">
        <v>539</v>
      </c>
      <c r="F110" s="58">
        <v>7.078038926838035</v>
      </c>
      <c r="G110" s="34">
        <v>0.32918400000000003</v>
      </c>
      <c r="H110" s="34">
        <v>0.19255922880000001</v>
      </c>
      <c r="I110" s="34">
        <v>-0.13662477120000002</v>
      </c>
      <c r="J110" s="34">
        <v>0.13662477120000002</v>
      </c>
      <c r="L110" s="34">
        <v>7.078038926838035</v>
      </c>
      <c r="M110" s="34">
        <v>0.44999452800000006</v>
      </c>
      <c r="N110" s="34">
        <v>0.29921362560000003</v>
      </c>
      <c r="O110" s="34">
        <v>-0.15078090240000006</v>
      </c>
      <c r="P110" s="34">
        <v>0.15078090240000006</v>
      </c>
    </row>
    <row r="111">
      <c r="A111">
        <v>1099</v>
      </c>
      <c r="B111">
        <v>2201825.301</v>
      </c>
      <c r="C111">
        <v>6718405.7819999997</v>
      </c>
      <c r="D111">
        <v>106.84999999999999</v>
      </c>
      <c r="E111">
        <v>539</v>
      </c>
      <c r="F111" s="58">
        <v>10.073570605531557</v>
      </c>
      <c r="G111" s="34">
        <v>0.27127200000000001</v>
      </c>
      <c r="H111" s="34">
        <v>0.25970087760000005</v>
      </c>
      <c r="I111" s="34">
        <v>-0.011571122399999991</v>
      </c>
      <c r="J111" s="34">
        <v>0.011571122399999991</v>
      </c>
      <c r="L111" s="34">
        <v>10.073570605531557</v>
      </c>
      <c r="M111" s="34">
        <v>0.45720000000000005</v>
      </c>
      <c r="N111" s="34">
        <v>0.46216854479999997</v>
      </c>
      <c r="O111" s="34">
        <v>0.0049685447999999691</v>
      </c>
      <c r="P111" s="34">
        <v>0.0049685447999999691</v>
      </c>
    </row>
    <row r="112">
      <c r="A112">
        <v>1100</v>
      </c>
      <c r="B112">
        <v>2201833.8909999998</v>
      </c>
      <c r="C112">
        <v>6718400.7070000004</v>
      </c>
      <c r="D112">
        <v>106.602</v>
      </c>
      <c r="E112">
        <v>539</v>
      </c>
      <c r="F112" s="58">
        <v>13.114609024309525</v>
      </c>
      <c r="G112" s="34">
        <v>0.35052</v>
      </c>
      <c r="H112" s="34">
        <v>0.30589849920000001</v>
      </c>
      <c r="I112" s="34">
        <v>-0.044621500799999991</v>
      </c>
      <c r="J112" s="34">
        <v>0.044621500799999991</v>
      </c>
      <c r="L112" s="34">
        <v>13.114609024309525</v>
      </c>
      <c r="M112" s="34">
        <v>0.55999319040000006</v>
      </c>
      <c r="N112" s="34">
        <v>0.6109191744000001</v>
      </c>
      <c r="O112" s="34">
        <v>0.050925983999999973</v>
      </c>
      <c r="P112" s="34">
        <v>0.050925983999999973</v>
      </c>
    </row>
    <row r="113">
      <c r="A113">
        <v>1101</v>
      </c>
      <c r="B113">
        <v>2201843.426</v>
      </c>
      <c r="C113">
        <v>6718393.6169999996</v>
      </c>
      <c r="D113">
        <v>106.283</v>
      </c>
      <c r="E113">
        <v>539</v>
      </c>
      <c r="F113" s="58">
        <v>16.736273419879964</v>
      </c>
      <c r="G113" s="34">
        <v>0.32308800000000004</v>
      </c>
      <c r="H113" s="34">
        <v>0.33721822320000006</v>
      </c>
      <c r="I113" s="34">
        <v>0.014130223200000012</v>
      </c>
      <c r="J113" s="34">
        <v>0.014130223200000012</v>
      </c>
      <c r="L113" s="34">
        <v>16.736273419879964</v>
      </c>
      <c r="M113" s="34">
        <v>0.67056000000000004</v>
      </c>
      <c r="N113" s="34">
        <v>0.66323900880000008</v>
      </c>
      <c r="O113" s="34">
        <v>-0.0073209912000000042</v>
      </c>
      <c r="P113" s="34">
        <v>0.0073209912000000042</v>
      </c>
    </row>
    <row r="114">
      <c r="A114">
        <v>1102</v>
      </c>
      <c r="B114">
        <v>2201851.5839999998</v>
      </c>
      <c r="C114">
        <v>6718386.7220000001</v>
      </c>
      <c r="D114">
        <v>106.096</v>
      </c>
      <c r="E114">
        <v>539</v>
      </c>
      <c r="F114" s="58">
        <v>19.991988152927505</v>
      </c>
      <c r="G114" s="34">
        <v>0.39014400000000005</v>
      </c>
      <c r="H114" s="34">
        <v>0.34810263120000001</v>
      </c>
      <c r="I114" s="34">
        <v>-0.042041368800000013</v>
      </c>
      <c r="J114" s="34">
        <v>0.042041368800000013</v>
      </c>
      <c r="L114" s="34">
        <v>19.991988152927505</v>
      </c>
      <c r="M114" s="34">
        <v>0.70999136640000005</v>
      </c>
      <c r="N114" s="34">
        <v>0.7063218792</v>
      </c>
      <c r="O114" s="34">
        <v>-0.0036694872000000408</v>
      </c>
      <c r="P114" s="34">
        <v>0.0036694872000000408</v>
      </c>
    </row>
    <row r="115">
      <c r="A115">
        <v>1103</v>
      </c>
      <c r="B115">
        <v>2201860.8939999999</v>
      </c>
      <c r="C115">
        <v>6718379.7520000003</v>
      </c>
      <c r="D115">
        <v>106.062</v>
      </c>
      <c r="E115">
        <v>539</v>
      </c>
      <c r="F115" s="58">
        <v>23.536813463297388</v>
      </c>
      <c r="G115" s="34">
        <v>0.35356799999999999</v>
      </c>
      <c r="H115" s="34">
        <v>0.35655961200000003</v>
      </c>
      <c r="I115" s="34">
        <v>0.0029916120000000397</v>
      </c>
      <c r="J115" s="34">
        <v>0.0029916120000000397</v>
      </c>
      <c r="L115" s="34">
        <v>23.536813463297388</v>
      </c>
      <c r="M115" s="34">
        <v>0.73152000000000006</v>
      </c>
      <c r="N115" s="34">
        <v>0.75412305359999998</v>
      </c>
      <c r="O115" s="34">
        <v>0.022603053600000009</v>
      </c>
      <c r="P115" s="34">
        <v>0.022603053600000009</v>
      </c>
    </row>
    <row r="116">
      <c r="A116">
        <v>1104</v>
      </c>
      <c r="B116">
        <v>2201869.145</v>
      </c>
      <c r="C116">
        <v>6718371.7819999997</v>
      </c>
      <c r="D116">
        <v>106.142</v>
      </c>
      <c r="E116">
        <v>539</v>
      </c>
      <c r="F116" s="58">
        <v>27.033387624936651</v>
      </c>
      <c r="G116" s="34">
        <v>0.38100000000000001</v>
      </c>
      <c r="H116" s="34">
        <v>0.36770553840000003</v>
      </c>
      <c r="I116" s="34">
        <v>-0.013294461600000005</v>
      </c>
      <c r="J116" s="34">
        <v>0.013294461600000005</v>
      </c>
      <c r="L116" s="34">
        <v>27.033387624936651</v>
      </c>
      <c r="M116" s="34">
        <v>0.699991488</v>
      </c>
      <c r="N116" s="34">
        <v>0.79610010959999999</v>
      </c>
      <c r="O116" s="34">
        <v>0.096108621599999958</v>
      </c>
      <c r="P116" s="34">
        <v>0.096108621599999958</v>
      </c>
    </row>
    <row r="117">
      <c r="A117">
        <v>1105</v>
      </c>
      <c r="B117">
        <v>2201878.9810000001</v>
      </c>
      <c r="C117">
        <v>6718364.1529999999</v>
      </c>
      <c r="D117">
        <v>106.34699999999999</v>
      </c>
      <c r="E117">
        <v>539</v>
      </c>
      <c r="F117" s="58">
        <v>30.827487008280901</v>
      </c>
      <c r="G117" s="34">
        <v>0.33832800000000007</v>
      </c>
      <c r="H117" s="34">
        <v>0.37443399840000002</v>
      </c>
      <c r="I117" s="34">
        <v>0.036105998399999985</v>
      </c>
      <c r="J117" s="34">
        <v>0.036105998399999985</v>
      </c>
      <c r="L117" s="34">
        <v>30.827487008280901</v>
      </c>
      <c r="M117" s="34">
        <v>0.70104</v>
      </c>
      <c r="N117" s="34">
        <v>0.82044509520000009</v>
      </c>
      <c r="O117" s="34">
        <v>0.11940509520000012</v>
      </c>
      <c r="P117" s="34">
        <v>0.11940509520000012</v>
      </c>
    </row>
    <row r="118">
      <c r="A118">
        <v>1106</v>
      </c>
      <c r="B118">
        <v>2201888.0780000002</v>
      </c>
      <c r="C118">
        <v>6718355.8030000003</v>
      </c>
      <c r="D118">
        <v>105.93899999999999</v>
      </c>
      <c r="E118">
        <v>539</v>
      </c>
      <c r="F118" s="58">
        <v>34.591216711444865</v>
      </c>
      <c r="G118" s="34">
        <v>0.39928800000000003</v>
      </c>
      <c r="H118" s="34">
        <v>0.39418930560000004</v>
      </c>
      <c r="I118" s="34">
        <v>-0.0050986944000000235</v>
      </c>
      <c r="J118" s="34">
        <v>0.0050986944000000235</v>
      </c>
      <c r="L118" s="34">
        <v>34.591216711444865</v>
      </c>
      <c r="M118" s="34">
        <v>0.74999088000000014</v>
      </c>
      <c r="N118" s="34">
        <v>0.95629902720000004</v>
      </c>
      <c r="O118" s="34">
        <v>0.2063081471999999</v>
      </c>
      <c r="P118" s="34">
        <v>0.2063081471999999</v>
      </c>
    </row>
    <row r="119">
      <c r="A119">
        <v>1107</v>
      </c>
      <c r="B119">
        <v>2201899.557</v>
      </c>
      <c r="C119">
        <v>6718345.7309999997</v>
      </c>
      <c r="D119">
        <v>105.789</v>
      </c>
      <c r="E119">
        <v>539</v>
      </c>
      <c r="F119" s="58">
        <v>39.245909164192078</v>
      </c>
      <c r="G119" s="34">
        <v>0.43891200000000002</v>
      </c>
      <c r="H119" s="34">
        <v>0.40591831440000004</v>
      </c>
      <c r="I119" s="34">
        <v>-0.032993685599999996</v>
      </c>
      <c r="J119" s="34">
        <v>0.032993685599999996</v>
      </c>
      <c r="L119" s="34">
        <v>39.245909164192078</v>
      </c>
      <c r="M119" s="34">
        <v>0.82296000000000014</v>
      </c>
      <c r="N119" s="34">
        <v>0.8628077232000001</v>
      </c>
      <c r="O119" s="34">
        <v>0.039847723199999976</v>
      </c>
      <c r="P119" s="34">
        <v>0.039847723199999976</v>
      </c>
    </row>
    <row r="120">
      <c r="A120">
        <v>1108</v>
      </c>
      <c r="B120">
        <v>2201908.702</v>
      </c>
      <c r="C120">
        <v>6718338.7209999999</v>
      </c>
      <c r="D120">
        <v>105.545</v>
      </c>
      <c r="E120">
        <v>539</v>
      </c>
      <c r="F120" s="58">
        <v>42.758008413424733</v>
      </c>
      <c r="G120" s="34">
        <v>0.420624</v>
      </c>
      <c r="H120" s="34">
        <v>0.41191007279999997</v>
      </c>
      <c r="I120" s="34">
        <v>-0.0087139271999999938</v>
      </c>
      <c r="J120" s="34">
        <v>0.0087139271999999938</v>
      </c>
      <c r="L120" s="34">
        <v>42.758008413424733</v>
      </c>
      <c r="M120" s="34">
        <v>0.85998954240000003</v>
      </c>
      <c r="N120" s="34">
        <v>0.89719068720000006</v>
      </c>
      <c r="O120" s="34">
        <v>0.037201144799999974</v>
      </c>
      <c r="P120" s="34">
        <v>0.037201144799999974</v>
      </c>
    </row>
    <row r="121">
      <c r="A121">
        <v>1109</v>
      </c>
      <c r="B121">
        <v>2201918.173</v>
      </c>
      <c r="C121">
        <v>6718330.7240000004</v>
      </c>
      <c r="D121">
        <v>106.05</v>
      </c>
      <c r="E121">
        <v>539</v>
      </c>
      <c r="F121" s="58">
        <v>46.536198981106956</v>
      </c>
      <c r="G121" s="34">
        <v>0.43891200000000002</v>
      </c>
      <c r="H121" s="34">
        <v>0.42038717040000007</v>
      </c>
      <c r="I121" s="34">
        <v>-0.018524829599999959</v>
      </c>
      <c r="J121" s="34">
        <v>0.018524829599999959</v>
      </c>
      <c r="L121" s="34">
        <v>46.536198981106956</v>
      </c>
      <c r="M121" s="34">
        <v>0.73152000000000006</v>
      </c>
      <c r="N121" s="34">
        <v>0.97278230639999996</v>
      </c>
      <c r="O121" s="34">
        <v>0.24126230639999999</v>
      </c>
      <c r="P121" s="34">
        <v>0.24126230639999999</v>
      </c>
    </row>
    <row r="122">
      <c r="A122">
        <v>1110</v>
      </c>
      <c r="B122">
        <v>2201928.0129999998</v>
      </c>
      <c r="C122">
        <v>6718323.324</v>
      </c>
      <c r="D122">
        <v>106.217</v>
      </c>
      <c r="E122">
        <v>539</v>
      </c>
      <c r="F122" s="58">
        <v>50.288899749948477</v>
      </c>
      <c r="G122" s="34">
        <v>0.39014400000000005</v>
      </c>
      <c r="H122" s="34">
        <v>0.4151808816</v>
      </c>
      <c r="I122" s="34">
        <v>0.025036881599999981</v>
      </c>
      <c r="J122" s="34">
        <v>0.025036881599999981</v>
      </c>
      <c r="L122" s="34">
        <v>50.288899749948477</v>
      </c>
      <c r="M122" s="34">
        <v>0.65999197440000013</v>
      </c>
      <c r="N122" s="34">
        <v>1.0208937672</v>
      </c>
      <c r="O122" s="34">
        <v>0.36090179279999995</v>
      </c>
      <c r="P122" s="34">
        <v>0.36090179279999995</v>
      </c>
    </row>
    <row r="123">
      <c r="A123">
        <v>1111</v>
      </c>
      <c r="B123">
        <v>2201937.1209999998</v>
      </c>
      <c r="C123">
        <v>6718315.9170000004</v>
      </c>
      <c r="D123">
        <v>106.80500000000001</v>
      </c>
      <c r="E123">
        <v>539</v>
      </c>
      <c r="F123" s="58">
        <v>53.867144172560273</v>
      </c>
      <c r="G123" s="34">
        <v>0.33832800000000007</v>
      </c>
      <c r="H123" s="34">
        <v>0.39184386960000001</v>
      </c>
      <c r="I123" s="34">
        <v>0.053515869599999967</v>
      </c>
      <c r="J123" s="34">
        <v>0.053515869599999967</v>
      </c>
      <c r="L123" s="34">
        <v>53.867144172560273</v>
      </c>
      <c r="M123" s="34">
        <v>0.48768000000000006</v>
      </c>
      <c r="N123" s="34">
        <v>0.87763319520000005</v>
      </c>
      <c r="O123" s="34">
        <v>0.38995319519999994</v>
      </c>
      <c r="P123" s="34">
        <v>0.38995319519999994</v>
      </c>
    </row>
    <row r="124">
      <c r="A124">
        <v>1112</v>
      </c>
      <c r="B124">
        <v>2201947.9249999998</v>
      </c>
      <c r="C124">
        <v>6718307.5319999997</v>
      </c>
      <c r="D124">
        <v>107.46299999999999</v>
      </c>
      <c r="E124">
        <v>539</v>
      </c>
      <c r="F124" s="58">
        <v>58.035607526761538</v>
      </c>
      <c r="G124" s="34">
        <v>0.25908000000000003</v>
      </c>
      <c r="H124" s="34">
        <v>0.25771266720000002</v>
      </c>
      <c r="I124" s="34">
        <v>-0.001367332799999997</v>
      </c>
      <c r="J124" s="34">
        <v>0.001367332799999997</v>
      </c>
      <c r="L124" s="34">
        <v>58.035607526761538</v>
      </c>
      <c r="M124" s="34">
        <v>0.28999647359999997</v>
      </c>
      <c r="N124" s="34">
        <v>0.32711349360000003</v>
      </c>
      <c r="O124" s="34">
        <v>0.037117020000000028</v>
      </c>
      <c r="P124" s="34">
        <v>0.037117020000000028</v>
      </c>
    </row>
    <row r="125">
      <c r="A125" s="1" t="s">
        <v>91</v>
      </c>
    </row>
    <row r="126">
      <c r="A126">
        <v>1113</v>
      </c>
      <c r="B126">
        <v>2201620.6140000001</v>
      </c>
      <c r="C126">
        <v>6717971.4479999999</v>
      </c>
      <c r="D126">
        <v>106.84699999999999</v>
      </c>
      <c r="E126">
        <v>539</v>
      </c>
      <c r="F126" s="58">
        <v>2.5033668595146294</v>
      </c>
      <c r="G126" s="34">
        <v>0.27127200000000001</v>
      </c>
      <c r="H126" s="34">
        <v>0.63706400399999996</v>
      </c>
      <c r="I126" s="34">
        <v>0.36579200399999995</v>
      </c>
      <c r="J126" s="34">
        <v>0.36579200399999995</v>
      </c>
      <c r="L126" s="34">
        <v>2.5033668595146294</v>
      </c>
      <c r="M126" s="34">
        <v>0.10999866240000002</v>
      </c>
      <c r="N126" s="34">
        <v>0.24438376320000002</v>
      </c>
      <c r="O126" s="34">
        <v>0.13438510080000002</v>
      </c>
      <c r="P126" s="34">
        <v>0.13438510080000002</v>
      </c>
    </row>
    <row r="127">
      <c r="A127">
        <v>1114</v>
      </c>
      <c r="B127">
        <v>2201614.2919999999</v>
      </c>
      <c r="C127">
        <v>6717980.2240000004</v>
      </c>
      <c r="D127">
        <v>106.283</v>
      </c>
      <c r="E127">
        <v>539</v>
      </c>
      <c r="F127" s="58">
        <v>5.8000837160367826</v>
      </c>
      <c r="G127" s="34">
        <v>0.50596799999999997</v>
      </c>
      <c r="H127" s="34">
        <v>0.71504190239999998</v>
      </c>
      <c r="I127" s="34">
        <v>0.20907390239999998</v>
      </c>
      <c r="J127" s="34">
        <v>0.20907390239999998</v>
      </c>
      <c r="L127" s="34">
        <v>5.8000837160367826</v>
      </c>
      <c r="M127" s="34">
        <v>0.24384000000000003</v>
      </c>
      <c r="N127" s="34">
        <v>0.24157746960000001</v>
      </c>
      <c r="O127" s="34">
        <v>-0.002262530400000021</v>
      </c>
      <c r="P127" s="34">
        <v>0.002262530400000021</v>
      </c>
    </row>
    <row r="128">
      <c r="A128">
        <v>1115</v>
      </c>
      <c r="B128">
        <v>2201608.0589999999</v>
      </c>
      <c r="C128">
        <v>6717990.0070000002</v>
      </c>
      <c r="D128">
        <v>106.066</v>
      </c>
      <c r="E128">
        <v>539</v>
      </c>
      <c r="F128" s="58">
        <v>9.3357292681690538</v>
      </c>
      <c r="G128" s="34">
        <v>0.74980800000000003</v>
      </c>
      <c r="H128" s="34">
        <v>0.79390372080000005</v>
      </c>
      <c r="I128" s="34">
        <v>0.044095720800000071</v>
      </c>
      <c r="J128" s="34">
        <v>0.044095720800000071</v>
      </c>
      <c r="L128" s="34">
        <v>9.3357292681690538</v>
      </c>
      <c r="M128" s="34">
        <v>0.42999477120000001</v>
      </c>
      <c r="N128" s="34">
        <v>0.29364066240000003</v>
      </c>
      <c r="O128" s="34">
        <v>-0.13635410880000001</v>
      </c>
      <c r="P128" s="34">
        <v>0.13635410880000001</v>
      </c>
    </row>
    <row r="129">
      <c r="A129">
        <v>1116</v>
      </c>
      <c r="B129">
        <v>2201599.9589999998</v>
      </c>
      <c r="C129">
        <v>6717998.182</v>
      </c>
      <c r="D129">
        <v>105.842</v>
      </c>
      <c r="E129">
        <v>539</v>
      </c>
      <c r="F129" s="58">
        <v>12.843454554142463</v>
      </c>
      <c r="G129" s="34">
        <v>0.801624</v>
      </c>
      <c r="H129" s="34">
        <v>1.0347478416</v>
      </c>
      <c r="I129" s="34">
        <v>0.23312384160000008</v>
      </c>
      <c r="J129" s="34">
        <v>0.23312384160000008</v>
      </c>
      <c r="L129" s="34">
        <v>12.843454554142463</v>
      </c>
      <c r="M129" s="34">
        <v>0.64008000000000009</v>
      </c>
      <c r="N129" s="34">
        <v>0.55869017040000002</v>
      </c>
      <c r="O129" s="34">
        <v>-0.081389829600000047</v>
      </c>
      <c r="P129" s="34">
        <v>0.081389829600000047</v>
      </c>
    </row>
    <row r="130">
      <c r="A130">
        <v>1117</v>
      </c>
      <c r="B130">
        <v>2201594.3769999999</v>
      </c>
      <c r="C130">
        <v>6718004.6979999999</v>
      </c>
      <c r="D130">
        <v>105.73099999999999</v>
      </c>
      <c r="E130">
        <v>539</v>
      </c>
      <c r="F130" s="58">
        <v>15.458648856167848</v>
      </c>
      <c r="G130" s="34">
        <v>1.389888</v>
      </c>
      <c r="H130" s="34">
        <v>1.1315404344000002</v>
      </c>
      <c r="I130" s="34">
        <v>-0.25834756559999988</v>
      </c>
      <c r="J130" s="34">
        <v>0.25834756559999988</v>
      </c>
      <c r="L130" s="34">
        <v>15.458648856167848</v>
      </c>
      <c r="M130" s="34">
        <v>0.45999440640000006</v>
      </c>
      <c r="N130" s="34">
        <v>0.56343346800000005</v>
      </c>
      <c r="O130" s="34">
        <v>0.10343906159999999</v>
      </c>
      <c r="P130" s="34">
        <v>0.10343906159999999</v>
      </c>
    </row>
    <row r="131">
      <c r="A131">
        <v>1118</v>
      </c>
      <c r="B131">
        <v>2201587.2710000002</v>
      </c>
      <c r="C131">
        <v>6718011.3789999997</v>
      </c>
      <c r="D131">
        <v>105.752</v>
      </c>
      <c r="E131">
        <v>539</v>
      </c>
      <c r="F131" s="58">
        <v>18.431519324072799</v>
      </c>
      <c r="G131" s="34">
        <v>1.4203680000000001</v>
      </c>
      <c r="H131" s="34">
        <v>1.1978265096</v>
      </c>
      <c r="I131" s="34">
        <v>-0.2225414904000001</v>
      </c>
      <c r="J131" s="34">
        <v>0.2225414904000001</v>
      </c>
      <c r="L131" s="34">
        <v>18.431519324072799</v>
      </c>
      <c r="M131" s="34">
        <v>0.53999343360000007</v>
      </c>
      <c r="N131" s="34">
        <v>0.57586229760000007</v>
      </c>
      <c r="O131" s="34">
        <v>0.035868864000000007</v>
      </c>
      <c r="P131" s="34">
        <v>0.035868864000000007</v>
      </c>
    </row>
    <row r="132">
      <c r="A132">
        <v>1119</v>
      </c>
      <c r="B132">
        <v>2201581.3429999999</v>
      </c>
      <c r="C132">
        <v>6718018.7149999999</v>
      </c>
      <c r="D132">
        <v>105.65600000000001</v>
      </c>
      <c r="E132">
        <v>539</v>
      </c>
      <c r="F132" s="58">
        <v>21.30631950235864</v>
      </c>
      <c r="G132" s="34">
        <v>1.612392</v>
      </c>
      <c r="H132" s="34">
        <v>1.2549030528000003</v>
      </c>
      <c r="I132" s="34">
        <v>-0.35748894719999991</v>
      </c>
      <c r="J132" s="34">
        <v>0.35748894719999991</v>
      </c>
      <c r="L132" s="34">
        <v>21.30631950235864</v>
      </c>
      <c r="M132" s="34">
        <v>0.85343999999999998</v>
      </c>
      <c r="N132" s="34">
        <v>0.61657656720000009</v>
      </c>
      <c r="O132" s="34">
        <v>-0.23686343279999991</v>
      </c>
      <c r="P132" s="34">
        <v>0.23686343279999991</v>
      </c>
    </row>
    <row r="133">
      <c r="A133">
        <v>1120</v>
      </c>
      <c r="B133">
        <v>2201571.9399999999</v>
      </c>
      <c r="C133">
        <v>6718026.2350000003</v>
      </c>
      <c r="D133">
        <v>105.815</v>
      </c>
      <c r="E133">
        <v>539</v>
      </c>
      <c r="F133" s="58">
        <v>24.976177436360842</v>
      </c>
      <c r="G133" s="34">
        <v>1.3594079999999999</v>
      </c>
      <c r="H133" s="34">
        <v>1.2875035464</v>
      </c>
      <c r="I133" s="34">
        <v>-0.071904453600000029</v>
      </c>
      <c r="J133" s="34">
        <v>0.071904453600000029</v>
      </c>
      <c r="L133" s="34">
        <v>24.976177436360842</v>
      </c>
      <c r="M133" s="34">
        <v>0.46999428480000005</v>
      </c>
      <c r="N133" s="34">
        <v>0.63246792480000003</v>
      </c>
      <c r="O133" s="34">
        <v>0.16247363999999995</v>
      </c>
      <c r="P133" s="34">
        <v>0.16247363999999995</v>
      </c>
    </row>
    <row r="134">
      <c r="A134">
        <v>1121</v>
      </c>
      <c r="B134">
        <v>2201563.9989999998</v>
      </c>
      <c r="C134">
        <v>6718033.9900000002</v>
      </c>
      <c r="D134">
        <v>106.003</v>
      </c>
      <c r="E134">
        <v>539</v>
      </c>
      <c r="F134" s="58">
        <v>28.359313353508806</v>
      </c>
      <c r="G134" s="34">
        <v>1.1338560000000002</v>
      </c>
      <c r="H134" s="34">
        <v>1.0838401488</v>
      </c>
      <c r="I134" s="34">
        <v>-0.050015851200000128</v>
      </c>
      <c r="J134" s="34">
        <v>0.050015851200000128</v>
      </c>
      <c r="L134" s="34">
        <v>28.359313353508806</v>
      </c>
      <c r="M134" s="34">
        <v>0.45720000000000005</v>
      </c>
      <c r="N134" s="34">
        <v>0.48607827600000003</v>
      </c>
      <c r="O134" s="34">
        <v>0.028878276000000026</v>
      </c>
      <c r="P134" s="34">
        <v>0.028878276000000026</v>
      </c>
    </row>
    <row r="135">
      <c r="A135">
        <v>1122</v>
      </c>
      <c r="B135">
        <v>2201556.1099999999</v>
      </c>
      <c r="C135">
        <v>6718041.7079999996</v>
      </c>
      <c r="D135">
        <v>106.191</v>
      </c>
      <c r="E135">
        <v>539</v>
      </c>
      <c r="F135" s="58">
        <v>31.723231825067771</v>
      </c>
      <c r="G135" s="34">
        <v>1.0332720000000002</v>
      </c>
      <c r="H135" s="34">
        <v>0.66749797920000009</v>
      </c>
      <c r="I135" s="34">
        <v>-0.36577402079999999</v>
      </c>
      <c r="J135" s="34">
        <v>0.36577402079999999</v>
      </c>
      <c r="L135" s="34">
        <v>31.723231825067771</v>
      </c>
      <c r="M135" s="34">
        <v>0.30480000000000002</v>
      </c>
      <c r="N135" s="34">
        <v>0.22843906560000002</v>
      </c>
      <c r="O135" s="34">
        <v>-0.076360934399999997</v>
      </c>
      <c r="P135" s="34">
        <v>0.076360934399999997</v>
      </c>
    </row>
    <row r="136">
      <c r="A136">
        <v>1123</v>
      </c>
      <c r="B136">
        <v>2201548.4980000001</v>
      </c>
      <c r="C136">
        <v>6718049.7130000005</v>
      </c>
      <c r="D136">
        <v>106.93899999999999</v>
      </c>
      <c r="E136">
        <v>539</v>
      </c>
      <c r="F136" s="58">
        <v>35.090169247941766</v>
      </c>
      <c r="G136" s="34">
        <v>0.29870400000000003</v>
      </c>
      <c r="H136" s="34">
        <v>0.20621213520000001</v>
      </c>
      <c r="I136" s="34">
        <v>-0.092491864800000018</v>
      </c>
      <c r="J136" s="34">
        <v>0.092491864800000018</v>
      </c>
      <c r="L136" s="34">
        <v>35.090169247941766</v>
      </c>
      <c r="M136" s="34">
        <v>0.15999805440000003</v>
      </c>
      <c r="N136" s="34">
        <v>0.0192920112</v>
      </c>
      <c r="O136" s="34">
        <v>-0.14070604320000002</v>
      </c>
      <c r="P136" s="34">
        <v>0.14070604320000002</v>
      </c>
    </row>
    <row r="137">
      <c r="A137" s="1" t="s">
        <v>92</v>
      </c>
    </row>
    <row r="138">
      <c r="A138">
        <v>1124</v>
      </c>
      <c r="B138">
        <v>2201326.3119999999</v>
      </c>
      <c r="C138">
        <v>6717837.3380000005</v>
      </c>
      <c r="D138">
        <v>104.267</v>
      </c>
      <c r="E138">
        <v>539</v>
      </c>
      <c r="F138" s="58">
        <v>1.5087482080894257</v>
      </c>
      <c r="G138" s="34">
        <v>0.21945600000000001</v>
      </c>
      <c r="H138" s="34">
        <v>0.075343816800000005</v>
      </c>
      <c r="I138" s="34">
        <v>-0.14411218319999999</v>
      </c>
      <c r="J138" s="34">
        <v>0.14411218319999999</v>
      </c>
      <c r="L138" s="34">
        <v>1.5087482080894257</v>
      </c>
      <c r="M138" s="34">
        <v>0.36999550080000004</v>
      </c>
      <c r="N138" s="34">
        <v>0</v>
      </c>
      <c r="O138" s="34">
        <v>-0.36999550080000004</v>
      </c>
      <c r="P138" s="34">
        <v>0.36999550080000004</v>
      </c>
    </row>
    <row r="139">
      <c r="A139">
        <v>1125</v>
      </c>
      <c r="B139">
        <v>2201332.057</v>
      </c>
      <c r="C139">
        <v>6717828.5439999998</v>
      </c>
      <c r="D139">
        <v>104.026</v>
      </c>
      <c r="E139">
        <v>539</v>
      </c>
      <c r="F139" s="58">
        <v>4.710446407500628</v>
      </c>
      <c r="G139" s="34">
        <v>0.70408800000000005</v>
      </c>
      <c r="H139" s="34">
        <v>0.083274103200000005</v>
      </c>
      <c r="I139" s="34">
        <v>-0.62081389679999999</v>
      </c>
      <c r="J139" s="34">
        <v>0.62081389679999999</v>
      </c>
      <c r="L139" s="34">
        <v>4.710446407500628</v>
      </c>
      <c r="M139" s="34">
        <v>0.45720000000000005</v>
      </c>
      <c r="N139" s="34">
        <v>0.0635465328</v>
      </c>
      <c r="O139" s="34">
        <v>-0.39365346720000005</v>
      </c>
      <c r="P139" s="34">
        <v>0.39365346720000005</v>
      </c>
    </row>
    <row r="140">
      <c r="A140">
        <v>1126</v>
      </c>
      <c r="B140">
        <v>2201340.196</v>
      </c>
      <c r="C140">
        <v>6717821.8810000001</v>
      </c>
      <c r="D140">
        <v>103.434</v>
      </c>
      <c r="E140">
        <v>539</v>
      </c>
      <c r="F140" s="58">
        <v>7.9164858992747327</v>
      </c>
      <c r="G140" s="34">
        <v>0.81076800000000004</v>
      </c>
      <c r="H140" s="34">
        <v>0.56658357600000009</v>
      </c>
      <c r="I140" s="34">
        <v>-0.24418442400000004</v>
      </c>
      <c r="J140" s="34">
        <v>0.24418442400000004</v>
      </c>
      <c r="L140" s="34">
        <v>7.9164858992747327</v>
      </c>
      <c r="M140" s="34">
        <v>0.66999185280000018</v>
      </c>
      <c r="N140" s="34">
        <v>0.55106742720000002</v>
      </c>
      <c r="O140" s="34">
        <v>-0.11892442560000013</v>
      </c>
      <c r="P140" s="34">
        <v>0.11892442560000013</v>
      </c>
    </row>
    <row r="141">
      <c r="A141">
        <v>1127</v>
      </c>
      <c r="B141">
        <v>2201347.2749999999</v>
      </c>
      <c r="C141">
        <v>6717814.3380000005</v>
      </c>
      <c r="D141">
        <v>103.26600000000001</v>
      </c>
      <c r="E141">
        <v>539</v>
      </c>
      <c r="F141" s="58">
        <v>11.069495535789045</v>
      </c>
      <c r="G141" s="34">
        <v>0.91744799999999993</v>
      </c>
      <c r="H141" s="34">
        <v>1.0199872919999999</v>
      </c>
      <c r="I141" s="34">
        <v>0.10253929200000005</v>
      </c>
      <c r="J141" s="34">
        <v>0.10253929200000005</v>
      </c>
      <c r="L141" s="34">
        <v>11.069495535789045</v>
      </c>
      <c r="M141" s="34">
        <v>0.73152000000000006</v>
      </c>
      <c r="N141" s="34">
        <v>0.78847370880000001</v>
      </c>
      <c r="O141" s="34">
        <v>0.056953708800000044</v>
      </c>
      <c r="P141" s="34">
        <v>0.056953708800000044</v>
      </c>
    </row>
    <row r="142">
      <c r="A142">
        <v>1128</v>
      </c>
      <c r="B142">
        <v>2201353.6699999999</v>
      </c>
      <c r="C142">
        <v>6717807.2249999996</v>
      </c>
      <c r="D142">
        <v>103.004</v>
      </c>
      <c r="E142">
        <v>539</v>
      </c>
      <c r="F142" s="58">
        <v>13.984932534890365</v>
      </c>
      <c r="G142" s="34">
        <v>0.81991199999999997</v>
      </c>
      <c r="H142" s="34">
        <v>1.1207858712000001</v>
      </c>
      <c r="I142" s="34">
        <v>0.30087387119999998</v>
      </c>
      <c r="J142" s="34">
        <v>0.30087387119999998</v>
      </c>
      <c r="L142" s="34">
        <v>13.984932534890365</v>
      </c>
      <c r="M142" s="34">
        <v>0.80999015040000022</v>
      </c>
      <c r="N142" s="34">
        <v>0.88607950800000002</v>
      </c>
      <c r="O142" s="34">
        <v>0.076089357599999838</v>
      </c>
      <c r="P142" s="34">
        <v>0.076089357599999838</v>
      </c>
    </row>
    <row r="143">
      <c r="A143">
        <v>1129</v>
      </c>
      <c r="B143">
        <v>2201359.696</v>
      </c>
      <c r="C143">
        <v>6717799.4210000001</v>
      </c>
      <c r="D143">
        <v>103.09999999999999</v>
      </c>
      <c r="E143">
        <v>539</v>
      </c>
      <c r="F143" s="58">
        <v>16.990190856580718</v>
      </c>
      <c r="G143" s="34">
        <v>1.0027920000000001</v>
      </c>
      <c r="H143" s="34">
        <v>1.118170992</v>
      </c>
      <c r="I143" s="34">
        <v>0.11537899200000004</v>
      </c>
      <c r="J143" s="34">
        <v>0.11537899200000004</v>
      </c>
      <c r="L143" s="34">
        <v>16.990190856580718</v>
      </c>
      <c r="M143" s="34">
        <v>0.73152000000000006</v>
      </c>
      <c r="N143" s="34">
        <v>0.80693392080000004</v>
      </c>
      <c r="O143" s="34">
        <v>0.075413920800000034</v>
      </c>
      <c r="P143" s="34">
        <v>0.075413920800000034</v>
      </c>
    </row>
    <row r="144">
      <c r="A144">
        <v>1130</v>
      </c>
      <c r="B144">
        <v>2201367.5639999998</v>
      </c>
      <c r="C144">
        <v>6717792.9220000003</v>
      </c>
      <c r="D144">
        <v>103.48399999999999</v>
      </c>
      <c r="E144">
        <v>539</v>
      </c>
      <c r="F144" s="58">
        <v>20.100680830034769</v>
      </c>
      <c r="G144" s="34">
        <v>1.0911840000000002</v>
      </c>
      <c r="H144" s="34">
        <v>1.1227265328</v>
      </c>
      <c r="I144" s="34">
        <v>0.031542532799999926</v>
      </c>
      <c r="J144" s="34">
        <v>0.031542532799999926</v>
      </c>
      <c r="L144" s="34">
        <v>20.100680830034769</v>
      </c>
      <c r="M144" s="34">
        <v>0.65999197440000013</v>
      </c>
      <c r="N144" s="34">
        <v>0.80416359360000012</v>
      </c>
      <c r="O144" s="34">
        <v>0.14417161919999999</v>
      </c>
      <c r="P144" s="34">
        <v>0.14417161919999999</v>
      </c>
    </row>
    <row r="145">
      <c r="A145">
        <v>1131</v>
      </c>
      <c r="B145">
        <v>2201374.6830000002</v>
      </c>
      <c r="C145">
        <v>6717785.5049999999</v>
      </c>
      <c r="D145">
        <v>103.57599999999999</v>
      </c>
      <c r="E145">
        <v>539</v>
      </c>
      <c r="F145" s="58">
        <v>23.234227183590448</v>
      </c>
      <c r="G145" s="34">
        <v>0.81991199999999997</v>
      </c>
      <c r="H145" s="34">
        <v>0.96885861600000001</v>
      </c>
      <c r="I145" s="34">
        <v>0.14894661599999998</v>
      </c>
      <c r="J145" s="34">
        <v>0.14894661599999998</v>
      </c>
      <c r="L145" s="34">
        <v>23.234227183590448</v>
      </c>
      <c r="M145" s="34">
        <v>0.60960000000000003</v>
      </c>
      <c r="N145" s="34">
        <v>0.6740743440000001</v>
      </c>
      <c r="O145" s="34">
        <v>0.064474344000000072</v>
      </c>
      <c r="P145" s="34">
        <v>0.064474344000000072</v>
      </c>
    </row>
    <row r="146">
      <c r="A146">
        <v>1132</v>
      </c>
      <c r="B146">
        <v>2201382.5240000002</v>
      </c>
      <c r="C146">
        <v>6717777.1509999996</v>
      </c>
      <c r="D146">
        <v>104.00700000000001</v>
      </c>
      <c r="E146">
        <v>539</v>
      </c>
      <c r="F146" s="58">
        <v>26.726423845345916</v>
      </c>
      <c r="G146" s="34">
        <v>0.78943200000000002</v>
      </c>
      <c r="H146" s="34">
        <v>0.66464383199999999</v>
      </c>
      <c r="I146" s="34">
        <v>-0.12478816799999995</v>
      </c>
      <c r="J146" s="34">
        <v>0.12478816799999995</v>
      </c>
      <c r="L146" s="34">
        <v>26.726423845345916</v>
      </c>
      <c r="M146" s="34">
        <v>0.50999379840000003</v>
      </c>
      <c r="N146" s="34">
        <v>0.52459188960000003</v>
      </c>
      <c r="O146" s="34">
        <v>0.014598091199999965</v>
      </c>
      <c r="P146" s="34">
        <v>0.014598091199999965</v>
      </c>
    </row>
    <row r="147">
      <c r="A147">
        <v>1133</v>
      </c>
      <c r="B147">
        <v>2201391.5950000002</v>
      </c>
      <c r="C147">
        <v>6717769.1500000004</v>
      </c>
      <c r="D147">
        <v>103.755</v>
      </c>
      <c r="E147">
        <v>539</v>
      </c>
      <c r="F147" s="58">
        <v>30.413106059714355</v>
      </c>
      <c r="G147" s="34">
        <v>0.27127200000000001</v>
      </c>
      <c r="H147" s="34">
        <v>0.19557979680000001</v>
      </c>
      <c r="I147" s="34">
        <v>-0.075692203200000016</v>
      </c>
      <c r="J147" s="34">
        <v>0.075692203200000016</v>
      </c>
      <c r="L147" s="34">
        <v>30.413106059714355</v>
      </c>
      <c r="M147" s="34">
        <v>0.51816000000000006</v>
      </c>
      <c r="N147" s="34">
        <v>0.18082290479999999</v>
      </c>
      <c r="O147" s="34">
        <v>-0.33733709519999999</v>
      </c>
      <c r="P147" s="34">
        <v>0.33733709519999999</v>
      </c>
    </row>
    <row r="148">
      <c r="A148">
        <v>1134</v>
      </c>
      <c r="B148">
        <v>2201401.0780000002</v>
      </c>
      <c r="C148">
        <v>6717761.1909999996</v>
      </c>
      <c r="D148">
        <v>104.55200000000001</v>
      </c>
      <c r="E148">
        <v>539</v>
      </c>
      <c r="F148" s="58">
        <v>34.186635556607378</v>
      </c>
      <c r="G148" s="34">
        <v>0.10058400000000001</v>
      </c>
      <c r="H148" s="34">
        <v>0.1111401384</v>
      </c>
      <c r="I148" s="34">
        <v>0.010556138399999991</v>
      </c>
      <c r="J148" s="34">
        <v>0.010556138399999991</v>
      </c>
      <c r="L148" s="34">
        <v>34.186635556607378</v>
      </c>
      <c r="M148" s="34">
        <v>0.29999635200000002</v>
      </c>
      <c r="N148" s="34">
        <v>0</v>
      </c>
      <c r="O148" s="34">
        <v>-0.29999635200000002</v>
      </c>
      <c r="P148" s="34">
        <v>0.29999635200000002</v>
      </c>
    </row>
    <row r="149">
      <c r="A149" s="1" t="s">
        <v>94</v>
      </c>
    </row>
    <row r="150">
      <c r="A150">
        <v>1135</v>
      </c>
      <c r="B150">
        <v>2193402.2349999999</v>
      </c>
      <c r="C150">
        <v>6702066.0159999998</v>
      </c>
      <c r="D150">
        <v>72.742000000000004</v>
      </c>
      <c r="E150">
        <v>539</v>
      </c>
      <c r="F150" s="58">
        <v>64.059401436159533</v>
      </c>
      <c r="G150" s="34">
        <v>0.35052</v>
      </c>
      <c r="H150" s="34">
        <v>0.24977658960000002</v>
      </c>
      <c r="I150" s="34">
        <v>-0.10074341039999997</v>
      </c>
      <c r="J150" s="34">
        <v>0.10074341039999997</v>
      </c>
      <c r="L150" s="34">
        <v>64.059401436159533</v>
      </c>
      <c r="M150" s="34">
        <v>0.21999732480000003</v>
      </c>
      <c r="N150" s="34">
        <v>0.16257452880000001</v>
      </c>
      <c r="O150" s="34">
        <v>-0.057422796000000033</v>
      </c>
      <c r="P150" s="34">
        <v>0.057422796000000033</v>
      </c>
    </row>
    <row r="151">
      <c r="A151">
        <v>1136</v>
      </c>
      <c r="B151">
        <v>2193406.861</v>
      </c>
      <c r="C151">
        <v>6702059.0990000004</v>
      </c>
      <c r="D151">
        <v>72.736999999999995</v>
      </c>
      <c r="E151">
        <v>539</v>
      </c>
      <c r="F151" s="58">
        <v>61.523055802773044</v>
      </c>
      <c r="G151" s="34">
        <v>0.32308800000000004</v>
      </c>
      <c r="H151" s="34">
        <v>0.45134844960000003</v>
      </c>
      <c r="I151" s="34">
        <v>0.12826044959999996</v>
      </c>
      <c r="J151" s="34">
        <v>0.12826044959999996</v>
      </c>
      <c r="L151" s="34">
        <v>61.523055802773044</v>
      </c>
      <c r="M151" s="34">
        <v>0.27432000000000001</v>
      </c>
      <c r="N151" s="34">
        <v>0.27931384320000002</v>
      </c>
      <c r="O151" s="34">
        <v>0.0049938431999999866</v>
      </c>
      <c r="P151" s="34">
        <v>0.0049938431999999866</v>
      </c>
    </row>
    <row r="152">
      <c r="A152">
        <v>1137</v>
      </c>
      <c r="B152">
        <v>2193416.0490000001</v>
      </c>
      <c r="C152">
        <v>6702049.5219999999</v>
      </c>
      <c r="D152">
        <v>72.555999999999997</v>
      </c>
      <c r="E152">
        <v>539</v>
      </c>
      <c r="F152" s="58">
        <v>57.477838747644277</v>
      </c>
      <c r="G152" s="34">
        <v>0.46939200000000003</v>
      </c>
      <c r="H152" s="34">
        <v>0.47235313200000001</v>
      </c>
      <c r="I152" s="34">
        <v>0.0029611319999999753</v>
      </c>
      <c r="J152" s="34">
        <v>0.0029611319999999753</v>
      </c>
      <c r="L152" s="34">
        <v>57.477838747644277</v>
      </c>
      <c r="M152" s="34">
        <v>0.32999598720000006</v>
      </c>
      <c r="N152" s="34">
        <v>0.3438229344</v>
      </c>
      <c r="O152" s="34">
        <v>0.013826947199999988</v>
      </c>
      <c r="P152" s="34">
        <v>0.013826947199999988</v>
      </c>
    </row>
    <row r="153">
      <c r="A153">
        <v>1138</v>
      </c>
      <c r="B153">
        <v>2193422.2519999999</v>
      </c>
      <c r="C153">
        <v>6702043.773</v>
      </c>
      <c r="D153">
        <v>72.593999999999994</v>
      </c>
      <c r="E153">
        <v>539</v>
      </c>
      <c r="F153" s="58">
        <v>54.900012501697638</v>
      </c>
      <c r="G153" s="34">
        <v>0.420624</v>
      </c>
      <c r="H153" s="34">
        <v>0.49735313280000004</v>
      </c>
      <c r="I153" s="34">
        <v>0.076729132800000058</v>
      </c>
      <c r="J153" s="34">
        <v>0.076729132800000058</v>
      </c>
      <c r="L153" s="34">
        <v>54.900012501697638</v>
      </c>
      <c r="M153" s="34">
        <v>0.33528000000000002</v>
      </c>
      <c r="N153" s="34">
        <v>0.39746041920000003</v>
      </c>
      <c r="O153" s="34">
        <v>0.062180419199999955</v>
      </c>
      <c r="P153" s="34">
        <v>0.062180419199999955</v>
      </c>
    </row>
    <row r="154">
      <c r="A154">
        <v>1139</v>
      </c>
      <c r="B154">
        <v>2193429.5189999999</v>
      </c>
      <c r="C154">
        <v>6702036.9680000003</v>
      </c>
      <c r="D154">
        <v>72.352000000000004</v>
      </c>
      <c r="E154">
        <v>539</v>
      </c>
      <c r="F154" s="58">
        <v>51.865494453168736</v>
      </c>
      <c r="G154" s="34">
        <v>0.420624</v>
      </c>
      <c r="H154" s="34">
        <v>0.53742762720000004</v>
      </c>
      <c r="I154" s="34">
        <v>0.11680362720000005</v>
      </c>
      <c r="J154" s="34">
        <v>0.11680362720000005</v>
      </c>
      <c r="L154" s="34">
        <v>51.865494453168736</v>
      </c>
      <c r="M154" s="34">
        <v>0.38999525760000009</v>
      </c>
      <c r="N154" s="34">
        <v>0.46017972480000002</v>
      </c>
      <c r="O154" s="34">
        <v>0.070184467199999948</v>
      </c>
      <c r="P154" s="34">
        <v>0.070184467199999948</v>
      </c>
    </row>
    <row r="155">
      <c r="A155">
        <v>1140</v>
      </c>
      <c r="B155">
        <v>2193436.7540000002</v>
      </c>
      <c r="C155">
        <v>6702029.1579999998</v>
      </c>
      <c r="D155">
        <v>72.058000000000007</v>
      </c>
      <c r="E155">
        <v>539</v>
      </c>
      <c r="F155" s="58">
        <v>48.620536263709958</v>
      </c>
      <c r="G155" s="34">
        <v>0.53949600000000009</v>
      </c>
      <c r="H155" s="34">
        <v>0.58008560640000006</v>
      </c>
      <c r="I155" s="34">
        <v>0.040589606399999985</v>
      </c>
      <c r="J155" s="34">
        <v>0.040589606399999985</v>
      </c>
      <c r="L155" s="34">
        <v>48.620536263709958</v>
      </c>
      <c r="M155" s="34">
        <v>0.49999392000000004</v>
      </c>
      <c r="N155" s="34">
        <v>0.52685777280000001</v>
      </c>
      <c r="O155" s="34">
        <v>0.026863852799999997</v>
      </c>
      <c r="P155" s="34">
        <v>0.026863852799999997</v>
      </c>
    </row>
    <row r="156">
      <c r="A156">
        <v>1141</v>
      </c>
      <c r="B156">
        <v>2193444.0329999998</v>
      </c>
      <c r="C156">
        <v>6702022.6849999996</v>
      </c>
      <c r="D156">
        <v>72.069000000000003</v>
      </c>
      <c r="E156">
        <v>539</v>
      </c>
      <c r="F156" s="58">
        <v>45.651534394591017</v>
      </c>
      <c r="G156" s="34">
        <v>0.75285600000000008</v>
      </c>
      <c r="H156" s="34">
        <v>0.61579719359999996</v>
      </c>
      <c r="I156" s="34">
        <v>-0.13705880640000012</v>
      </c>
      <c r="J156" s="34">
        <v>0.13705880640000012</v>
      </c>
      <c r="L156" s="34">
        <v>45.651534394591017</v>
      </c>
      <c r="M156" s="34">
        <v>0.54864000000000002</v>
      </c>
      <c r="N156" s="34">
        <v>0.58851881280000007</v>
      </c>
      <c r="O156" s="34">
        <v>0.039878812799999989</v>
      </c>
      <c r="P156" s="34">
        <v>0.039878812799999989</v>
      </c>
    </row>
    <row r="157">
      <c r="A157">
        <v>1142</v>
      </c>
      <c r="B157">
        <v>2193451.105</v>
      </c>
      <c r="C157">
        <v>6702014.9720000001</v>
      </c>
      <c r="D157">
        <v>71.994</v>
      </c>
      <c r="E157">
        <v>539</v>
      </c>
      <c r="F157" s="58">
        <v>42.461986940166135</v>
      </c>
      <c r="G157" s="34">
        <v>0.75895200000000007</v>
      </c>
      <c r="H157" s="34">
        <v>0.64759545360000004</v>
      </c>
      <c r="I157" s="34">
        <v>-0.11135654640000006</v>
      </c>
      <c r="J157" s="34">
        <v>0.11135654640000006</v>
      </c>
      <c r="L157" s="34">
        <v>42.461986940166135</v>
      </c>
      <c r="M157" s="34">
        <v>0.51999367680000008</v>
      </c>
      <c r="N157" s="34">
        <v>0.66580572960000006</v>
      </c>
      <c r="O157" s="34">
        <v>0.14581205279999992</v>
      </c>
      <c r="P157" s="34">
        <v>0.14581205279999992</v>
      </c>
    </row>
    <row r="158">
      <c r="A158">
        <v>1143</v>
      </c>
      <c r="B158">
        <v>2193458.5699999998</v>
      </c>
      <c r="C158">
        <v>6702007.8389999997</v>
      </c>
      <c r="D158">
        <v>72.034000000000006</v>
      </c>
      <c r="E158">
        <v>539</v>
      </c>
      <c r="F158" s="58">
        <v>39.314922674397877</v>
      </c>
      <c r="G158" s="34">
        <v>0.70408800000000005</v>
      </c>
      <c r="H158" s="34">
        <v>0.63633278879999999</v>
      </c>
      <c r="I158" s="34">
        <v>-0.067755211200000068</v>
      </c>
      <c r="J158" s="34">
        <v>0.067755211200000068</v>
      </c>
      <c r="L158" s="34">
        <v>39.314922674397877</v>
      </c>
      <c r="M158" s="34">
        <v>0.51816000000000006</v>
      </c>
      <c r="N158" s="34">
        <v>0.62628566640000005</v>
      </c>
      <c r="O158" s="34">
        <v>0.10812566640000008</v>
      </c>
      <c r="P158" s="34">
        <v>0.10812566640000008</v>
      </c>
    </row>
    <row r="159">
      <c r="A159">
        <v>1144</v>
      </c>
      <c r="B159">
        <v>2193465.699</v>
      </c>
      <c r="C159">
        <v>6702002.3669999996</v>
      </c>
      <c r="D159">
        <v>72.244</v>
      </c>
      <c r="E159">
        <v>539</v>
      </c>
      <c r="F159" s="58">
        <v>36.575697690992563</v>
      </c>
      <c r="G159" s="34">
        <v>0.77114399999999994</v>
      </c>
      <c r="H159" s="34">
        <v>0.58862549280000009</v>
      </c>
      <c r="I159" s="34">
        <v>-0.18251850719999993</v>
      </c>
      <c r="J159" s="34">
        <v>0.18251850719999993</v>
      </c>
      <c r="L159" s="34">
        <v>36.575697690992563</v>
      </c>
      <c r="M159" s="34">
        <v>0.45999440640000006</v>
      </c>
      <c r="N159" s="34">
        <v>0.52434896399999997</v>
      </c>
      <c r="O159" s="34">
        <v>0.064354557599999973</v>
      </c>
      <c r="P159" s="34">
        <v>0.064354557599999973</v>
      </c>
    </row>
    <row r="160">
      <c r="A160">
        <v>1145</v>
      </c>
      <c r="B160">
        <v>2193474.1919999998</v>
      </c>
      <c r="C160">
        <v>6701994.9749999996</v>
      </c>
      <c r="D160">
        <v>72.376000000000005</v>
      </c>
      <c r="E160">
        <v>539</v>
      </c>
      <c r="F160" s="58">
        <v>33.143851187082994</v>
      </c>
      <c r="G160" s="34">
        <v>0.58826400000000001</v>
      </c>
      <c r="H160" s="34">
        <v>0.55199584800000001</v>
      </c>
      <c r="I160" s="34">
        <v>-0.036268151999999977</v>
      </c>
      <c r="J160" s="34">
        <v>0.036268151999999977</v>
      </c>
      <c r="L160" s="34">
        <v>33.143851187082994</v>
      </c>
      <c r="M160" s="34">
        <v>0.39624000000000004</v>
      </c>
      <c r="N160" s="34">
        <v>0.55646116800000001</v>
      </c>
      <c r="O160" s="34">
        <v>0.16022116800000002</v>
      </c>
      <c r="P160" s="34">
        <v>0.16022116800000002</v>
      </c>
    </row>
    <row r="161">
      <c r="A161">
        <v>1146</v>
      </c>
      <c r="B161">
        <v>2193480.8730000001</v>
      </c>
      <c r="C161">
        <v>6701989.1830000002</v>
      </c>
      <c r="D161">
        <v>72.421000000000006</v>
      </c>
      <c r="E161">
        <v>539</v>
      </c>
      <c r="F161" s="58">
        <v>30.448774064123775</v>
      </c>
      <c r="G161" s="34">
        <v>0.64008000000000009</v>
      </c>
      <c r="H161" s="34">
        <v>0.52824034559999999</v>
      </c>
      <c r="I161" s="34">
        <v>-0.11183965440000004</v>
      </c>
      <c r="J161" s="34">
        <v>0.11183965440000004</v>
      </c>
      <c r="L161" s="34">
        <v>30.448774064123775</v>
      </c>
      <c r="M161" s="34">
        <v>0.39999513600000008</v>
      </c>
      <c r="N161" s="34">
        <v>0.5097097248000001</v>
      </c>
      <c r="O161" s="34">
        <v>0.10971458879999998</v>
      </c>
      <c r="P161" s="34">
        <v>0.10971458879999998</v>
      </c>
    </row>
    <row r="162">
      <c r="A162">
        <v>1147</v>
      </c>
      <c r="B162">
        <v>2193489.2289999998</v>
      </c>
      <c r="C162">
        <v>6701982.5109999999</v>
      </c>
      <c r="D162">
        <v>72.515000000000001</v>
      </c>
      <c r="E162">
        <v>539</v>
      </c>
      <c r="F162" s="58">
        <v>27.189575156982723</v>
      </c>
      <c r="G162" s="34">
        <v>0.56997600000000004</v>
      </c>
      <c r="H162" s="34">
        <v>0.51472886640000004</v>
      </c>
      <c r="I162" s="34">
        <v>-0.055247133600000005</v>
      </c>
      <c r="J162" s="34">
        <v>0.055247133600000005</v>
      </c>
      <c r="L162" s="34">
        <v>27.189575156982723</v>
      </c>
      <c r="M162" s="34">
        <v>0.42671999999999999</v>
      </c>
      <c r="N162" s="34">
        <v>0.50177151360000005</v>
      </c>
      <c r="O162" s="34">
        <v>0.075051513600000008</v>
      </c>
      <c r="P162" s="34">
        <v>0.075051513600000008</v>
      </c>
    </row>
    <row r="163">
      <c r="A163">
        <v>1148</v>
      </c>
      <c r="B163">
        <v>2193495.8459999999</v>
      </c>
      <c r="C163">
        <v>6701976.9189999998</v>
      </c>
      <c r="D163">
        <v>72.408000000000001</v>
      </c>
      <c r="E163">
        <v>539</v>
      </c>
      <c r="F163" s="58">
        <v>24.548959342128867</v>
      </c>
      <c r="G163" s="34">
        <v>0.60045599999999999</v>
      </c>
      <c r="H163" s="34">
        <v>0.51473618160000001</v>
      </c>
      <c r="I163" s="34">
        <v>-0.085719818400000022</v>
      </c>
      <c r="J163" s="34">
        <v>0.085719818400000022</v>
      </c>
      <c r="L163" s="34">
        <v>24.548959342128867</v>
      </c>
      <c r="M163" s="34">
        <v>0.42999477120000001</v>
      </c>
      <c r="N163" s="34">
        <v>0.59604249600000003</v>
      </c>
      <c r="O163" s="34">
        <v>0.16604772479999999</v>
      </c>
      <c r="P163" s="34">
        <v>0.16604772479999999</v>
      </c>
    </row>
    <row r="164">
      <c r="A164">
        <v>1149</v>
      </c>
      <c r="B164">
        <v>2193503.031</v>
      </c>
      <c r="C164">
        <v>6701969.7810000004</v>
      </c>
      <c r="D164">
        <v>72.352999999999994</v>
      </c>
      <c r="E164">
        <v>539</v>
      </c>
      <c r="F164" s="58">
        <v>21.46196172014843</v>
      </c>
      <c r="G164" s="34">
        <v>0.58826400000000001</v>
      </c>
      <c r="H164" s="34">
        <v>0.48514223520000005</v>
      </c>
      <c r="I164" s="34">
        <v>-0.10312176479999997</v>
      </c>
      <c r="J164" s="34">
        <v>0.10312176479999997</v>
      </c>
      <c r="L164" s="34">
        <v>21.46196172014843</v>
      </c>
      <c r="M164" s="34">
        <v>0.45720000000000005</v>
      </c>
      <c r="N164" s="34">
        <v>0.54021471840000002</v>
      </c>
      <c r="O164" s="34">
        <v>0.083014718400000034</v>
      </c>
      <c r="P164" s="34">
        <v>0.083014718400000034</v>
      </c>
    </row>
    <row r="165">
      <c r="A165">
        <v>1150</v>
      </c>
      <c r="B165">
        <v>2193510.1510000001</v>
      </c>
      <c r="C165">
        <v>6701963.7180000003</v>
      </c>
      <c r="D165">
        <v>72.260999999999996</v>
      </c>
      <c r="E165">
        <v>539</v>
      </c>
      <c r="F165" s="58">
        <v>18.611562319779786</v>
      </c>
      <c r="G165" s="34">
        <v>0.57911999999999997</v>
      </c>
      <c r="H165" s="34">
        <v>0.46767262320000003</v>
      </c>
      <c r="I165" s="34">
        <v>-0.11144737679999997</v>
      </c>
      <c r="J165" s="34">
        <v>0.11144737679999997</v>
      </c>
      <c r="L165" s="34">
        <v>18.611562319779786</v>
      </c>
      <c r="M165" s="34">
        <v>0.42999477120000001</v>
      </c>
      <c r="N165" s="34">
        <v>0.58640715840000002</v>
      </c>
      <c r="O165" s="34">
        <v>0.1564123872</v>
      </c>
      <c r="P165" s="34">
        <v>0.1564123872</v>
      </c>
    </row>
    <row r="166">
      <c r="A166">
        <v>1151</v>
      </c>
      <c r="B166">
        <v>2193516.4389999998</v>
      </c>
      <c r="C166">
        <v>6701955.4639999997</v>
      </c>
      <c r="D166">
        <v>72.215999999999994</v>
      </c>
      <c r="E166">
        <v>539</v>
      </c>
      <c r="F166" s="58">
        <v>15.448868160721018</v>
      </c>
      <c r="G166" s="34">
        <v>0.56997600000000004</v>
      </c>
      <c r="H166" s="34">
        <v>0.45808148160000001</v>
      </c>
      <c r="I166" s="34">
        <v>-0.11189451840000007</v>
      </c>
      <c r="J166" s="34">
        <v>0.11189451840000007</v>
      </c>
      <c r="L166" s="34">
        <v>15.448868160721018</v>
      </c>
      <c r="M166" s="34">
        <v>0.45720000000000005</v>
      </c>
      <c r="N166" s="34">
        <v>0.48518216399999997</v>
      </c>
      <c r="O166" s="34">
        <v>0.027982163999999976</v>
      </c>
      <c r="P166" s="34">
        <v>0.027982163999999976</v>
      </c>
    </row>
    <row r="167">
      <c r="A167">
        <v>1152</v>
      </c>
      <c r="B167">
        <v>2193522.736</v>
      </c>
      <c r="C167">
        <v>6701949.3310000002</v>
      </c>
      <c r="D167">
        <v>72.082999999999998</v>
      </c>
      <c r="E167">
        <v>539</v>
      </c>
      <c r="F167" s="58">
        <v>12.769644987448954</v>
      </c>
      <c r="G167" s="34">
        <v>0.50901600000000002</v>
      </c>
      <c r="H167" s="34">
        <v>0.44441424959999998</v>
      </c>
      <c r="I167" s="34">
        <v>-0.064601750400000005</v>
      </c>
      <c r="J167" s="34">
        <v>0.064601750400000005</v>
      </c>
      <c r="L167" s="34">
        <v>12.769644987448954</v>
      </c>
      <c r="M167" s="34">
        <v>0.48999404160000004</v>
      </c>
      <c r="N167" s="34">
        <v>0.42405696240000001</v>
      </c>
      <c r="O167" s="34">
        <v>-0.065937079200000068</v>
      </c>
      <c r="P167" s="34">
        <v>0.065937079200000068</v>
      </c>
    </row>
    <row r="168">
      <c r="A168">
        <v>1153</v>
      </c>
      <c r="B168">
        <v>2193529.2930000001</v>
      </c>
      <c r="C168">
        <v>6701941.6169999996</v>
      </c>
      <c r="D168">
        <v>72.278000000000006</v>
      </c>
      <c r="E168">
        <v>539</v>
      </c>
      <c r="F168" s="58">
        <v>9.6837795040619241</v>
      </c>
      <c r="G168" s="34">
        <v>0.521208</v>
      </c>
      <c r="H168" s="34">
        <v>0.3956983704</v>
      </c>
      <c r="I168" s="34">
        <v>-0.12550962960000003</v>
      </c>
      <c r="J168" s="34">
        <v>0.12550962960000003</v>
      </c>
      <c r="L168" s="34">
        <v>9.6837795040619241</v>
      </c>
      <c r="M168" s="34">
        <v>0.39624000000000004</v>
      </c>
      <c r="N168" s="34">
        <v>0.58001550239999999</v>
      </c>
      <c r="O168" s="34">
        <v>0.18377550240000001</v>
      </c>
      <c r="P168" s="34">
        <v>0.18377550240000001</v>
      </c>
    </row>
    <row r="169">
      <c r="A169">
        <v>1154</v>
      </c>
      <c r="B169">
        <v>2193536.8960000002</v>
      </c>
      <c r="C169">
        <v>6701935.3650000002</v>
      </c>
      <c r="D169">
        <v>72.548000000000002</v>
      </c>
      <c r="E169">
        <v>539</v>
      </c>
      <c r="F169" s="58">
        <v>6.6835020581861491</v>
      </c>
      <c r="G169" s="34">
        <v>0.37185600000000002</v>
      </c>
      <c r="H169" s="34">
        <v>0.33083906399999996</v>
      </c>
      <c r="I169" s="34">
        <v>-0.041016936000000025</v>
      </c>
      <c r="J169" s="34">
        <v>0.041016936000000025</v>
      </c>
      <c r="L169" s="34">
        <v>6.6835020581861491</v>
      </c>
      <c r="M169" s="34">
        <v>0.36576000000000003</v>
      </c>
      <c r="N169" s="34">
        <v>0.49243335599999999</v>
      </c>
      <c r="O169" s="34">
        <v>0.12667335599999999</v>
      </c>
      <c r="P169" s="34">
        <v>0.12667335599999999</v>
      </c>
    </row>
    <row r="170">
      <c r="A170">
        <v>1155</v>
      </c>
      <c r="B170">
        <v>2193542.6370000001</v>
      </c>
      <c r="C170">
        <v>6701926.8870000001</v>
      </c>
      <c r="D170">
        <v>72.933999999999997</v>
      </c>
      <c r="E170">
        <v>539</v>
      </c>
      <c r="F170" s="58">
        <v>3.5626780181733286</v>
      </c>
      <c r="G170" s="34">
        <v>0.17983199999999999</v>
      </c>
      <c r="H170" s="34">
        <v>0.21383701200000002</v>
      </c>
      <c r="I170" s="34">
        <v>0.034005012000000008</v>
      </c>
      <c r="J170" s="34">
        <v>0.034005012000000008</v>
      </c>
      <c r="L170" s="34">
        <v>3.5626780181733286</v>
      </c>
      <c r="M170" s="34">
        <v>0.19999756800000004</v>
      </c>
      <c r="N170" s="34">
        <v>0</v>
      </c>
      <c r="O170" s="34">
        <v>-0.19999756800000004</v>
      </c>
      <c r="P170" s="34">
        <v>0.19999756800000004</v>
      </c>
    </row>
    <row r="171">
      <c r="A171" s="1" t="s">
        <v>95</v>
      </c>
    </row>
    <row r="172">
      <c r="A172">
        <v>1156</v>
      </c>
      <c r="B172">
        <v>2193895.3050000002</v>
      </c>
      <c r="C172">
        <v>6702387.4199999999</v>
      </c>
      <c r="D172">
        <v>73.480999999999995</v>
      </c>
      <c r="E172">
        <v>539</v>
      </c>
      <c r="F172" s="58">
        <v>2.7098721697187922</v>
      </c>
      <c r="G172" s="34">
        <v>0.140208</v>
      </c>
      <c r="H172" s="34">
        <v>0.092614089600000005</v>
      </c>
      <c r="I172" s="34">
        <v>-0.047593910400000008</v>
      </c>
      <c r="J172" s="34">
        <v>0.047593910400000008</v>
      </c>
      <c r="L172" s="34">
        <v>2.7098721697187922</v>
      </c>
      <c r="M172" s="34">
        <v>0.16999793280000006</v>
      </c>
      <c r="N172" s="34">
        <v>0.058569758400000005</v>
      </c>
      <c r="O172" s="34">
        <v>-0.11142817440000004</v>
      </c>
      <c r="P172" s="34">
        <v>0.11142817440000004</v>
      </c>
    </row>
    <row r="173">
      <c r="A173">
        <v>1157</v>
      </c>
      <c r="B173">
        <v>2193889.5109999999</v>
      </c>
      <c r="C173">
        <v>6702392.1710000001</v>
      </c>
      <c r="D173">
        <v>73.122</v>
      </c>
      <c r="E173">
        <v>539</v>
      </c>
      <c r="F173" s="58">
        <v>4.9936854437624074</v>
      </c>
      <c r="G173" s="34">
        <v>0.22250400000000001</v>
      </c>
      <c r="H173" s="34">
        <v>0.22754630640000001</v>
      </c>
      <c r="I173" s="34">
        <v>0.0050423063999999922</v>
      </c>
      <c r="J173" s="34">
        <v>0.0050423063999999922</v>
      </c>
      <c r="L173" s="34">
        <v>4.9936854437624074</v>
      </c>
      <c r="M173" s="34">
        <v>0.30480000000000002</v>
      </c>
      <c r="N173" s="34">
        <v>0.27012503760000001</v>
      </c>
      <c r="O173" s="34">
        <v>-0.034674962399999988</v>
      </c>
      <c r="P173" s="34">
        <v>0.034674962399999988</v>
      </c>
    </row>
    <row r="174">
      <c r="A174">
        <v>1158</v>
      </c>
      <c r="B174">
        <v>2193882.4559999998</v>
      </c>
      <c r="C174">
        <v>6702397.4819999998</v>
      </c>
      <c r="D174">
        <v>72.465999999999994</v>
      </c>
      <c r="E174">
        <v>539</v>
      </c>
      <c r="F174" s="58">
        <v>7.6852566320843811</v>
      </c>
      <c r="G174" s="34">
        <v>0.24993599999999999</v>
      </c>
      <c r="H174" s="34">
        <v>0.27024208080000001</v>
      </c>
      <c r="I174" s="34">
        <v>0.020306080800000015</v>
      </c>
      <c r="J174" s="34">
        <v>0.020306080800000015</v>
      </c>
      <c r="L174" s="34">
        <v>7.6852566320843811</v>
      </c>
      <c r="M174" s="34">
        <v>0.48999404160000004</v>
      </c>
      <c r="N174" s="34">
        <v>0.37482719040000007</v>
      </c>
      <c r="O174" s="34">
        <v>-0.11516685120000003</v>
      </c>
      <c r="P174" s="34">
        <v>0.11516685120000003</v>
      </c>
    </row>
    <row r="175">
      <c r="A175">
        <v>1159</v>
      </c>
      <c r="B175">
        <v>2193875.298</v>
      </c>
      <c r="C175">
        <v>6702403.2850000001</v>
      </c>
      <c r="D175">
        <v>72.105000000000004</v>
      </c>
      <c r="E175">
        <v>539</v>
      </c>
      <c r="F175" s="58">
        <v>10.493915002833923</v>
      </c>
      <c r="G175" s="34">
        <v>0.23774400000000001</v>
      </c>
      <c r="H175" s="34">
        <v>0.30239939520000003</v>
      </c>
      <c r="I175" s="34">
        <v>0.064655395199999993</v>
      </c>
      <c r="J175" s="34">
        <v>0.064655395199999993</v>
      </c>
      <c r="L175" s="34">
        <v>10.493915002833923</v>
      </c>
      <c r="M175" s="34">
        <v>0.60960000000000003</v>
      </c>
      <c r="N175" s="34">
        <v>0.51825113519999999</v>
      </c>
      <c r="O175" s="34">
        <v>-0.091348864799999999</v>
      </c>
      <c r="P175" s="34">
        <v>0.091348864799999999</v>
      </c>
    </row>
    <row r="176">
      <c r="A176">
        <v>1160</v>
      </c>
      <c r="B176">
        <v>2193867.051</v>
      </c>
      <c r="C176">
        <v>6702410.1299999999</v>
      </c>
      <c r="D176">
        <v>71.599999999999994</v>
      </c>
      <c r="E176">
        <v>539</v>
      </c>
      <c r="F176" s="58">
        <v>13.760640680636048</v>
      </c>
      <c r="G176" s="34">
        <v>0.34137600000000007</v>
      </c>
      <c r="H176" s="34">
        <v>0.34052865600000004</v>
      </c>
      <c r="I176" s="34">
        <v>-0.0008473440000000015</v>
      </c>
      <c r="J176" s="34">
        <v>0.0008473440000000015</v>
      </c>
      <c r="L176" s="34">
        <v>13.760640680636048</v>
      </c>
      <c r="M176" s="34">
        <v>0.76999063680000013</v>
      </c>
      <c r="N176" s="34">
        <v>0.74237118480000008</v>
      </c>
      <c r="O176" s="34">
        <v>-0.027619452000000034</v>
      </c>
      <c r="P176" s="34">
        <v>0.027619452000000034</v>
      </c>
    </row>
    <row r="177">
      <c r="A177">
        <v>1161</v>
      </c>
      <c r="B177">
        <v>2193857.6209999998</v>
      </c>
      <c r="C177">
        <v>6702417.3229999999</v>
      </c>
      <c r="D177">
        <v>71.013000000000005</v>
      </c>
      <c r="E177">
        <v>539</v>
      </c>
      <c r="F177" s="58">
        <v>17.375627134465006</v>
      </c>
      <c r="G177" s="34">
        <v>0.35356799999999999</v>
      </c>
      <c r="H177" s="34">
        <v>0.38074732080000001</v>
      </c>
      <c r="I177" s="34">
        <v>0.027179320800000035</v>
      </c>
      <c r="J177" s="34">
        <v>0.027179320800000035</v>
      </c>
      <c r="L177" s="34">
        <v>17.375627134465006</v>
      </c>
      <c r="M177" s="34">
        <v>0.94488000000000005</v>
      </c>
      <c r="N177" s="34">
        <v>0.98247890879999999</v>
      </c>
      <c r="O177" s="34">
        <v>0.037598908799999942</v>
      </c>
      <c r="P177" s="34">
        <v>0.037598908799999942</v>
      </c>
    </row>
    <row r="178">
      <c r="A178">
        <v>1162</v>
      </c>
      <c r="B178">
        <v>2193851.1669999999</v>
      </c>
      <c r="C178">
        <v>6702420.7699999996</v>
      </c>
      <c r="D178">
        <v>70.741</v>
      </c>
      <c r="E178">
        <v>539</v>
      </c>
      <c r="F178" s="58">
        <v>19.605795330231668</v>
      </c>
      <c r="G178" s="34">
        <v>0.420624</v>
      </c>
      <c r="H178" s="34">
        <v>0.39509608559999998</v>
      </c>
      <c r="I178" s="34">
        <v>-0.02552791439999999</v>
      </c>
      <c r="J178" s="34">
        <v>0.02552791439999999</v>
      </c>
      <c r="L178" s="34">
        <v>19.605795330231668</v>
      </c>
      <c r="M178" s="34">
        <v>1.0399873536000002</v>
      </c>
      <c r="N178" s="34">
        <v>1.0960662864000001</v>
      </c>
      <c r="O178" s="34">
        <v>0.056078932799999863</v>
      </c>
      <c r="P178" s="34">
        <v>0.056078932799999863</v>
      </c>
    </row>
    <row r="179">
      <c r="A179">
        <v>1163</v>
      </c>
      <c r="B179">
        <v>2193846.0099999998</v>
      </c>
      <c r="C179">
        <v>6702425.2230000002</v>
      </c>
      <c r="D179">
        <v>70.524000000000001</v>
      </c>
      <c r="E179">
        <v>539</v>
      </c>
      <c r="F179" s="58">
        <v>21.682551824721834</v>
      </c>
      <c r="G179" s="34">
        <v>0.38709600000000005</v>
      </c>
      <c r="H179" s="34">
        <v>0.40634290080000002</v>
      </c>
      <c r="I179" s="34">
        <v>0.019246900799999977</v>
      </c>
      <c r="J179" s="34">
        <v>0.019246900799999977</v>
      </c>
      <c r="L179" s="34">
        <v>21.682551824721834</v>
      </c>
      <c r="M179" s="34">
        <v>1.09728</v>
      </c>
      <c r="N179" s="34">
        <v>1.1659788720000002</v>
      </c>
      <c r="O179" s="34">
        <v>0.068698871999999994</v>
      </c>
      <c r="P179" s="34">
        <v>0.068698871999999994</v>
      </c>
    </row>
    <row r="180">
      <c r="A180">
        <v>1164</v>
      </c>
      <c r="B180">
        <v>2193839.7969999998</v>
      </c>
      <c r="C180">
        <v>6702429.9340000004</v>
      </c>
      <c r="D180">
        <v>70.119</v>
      </c>
      <c r="E180">
        <v>539</v>
      </c>
      <c r="F180" s="58">
        <v>24.059110281306388</v>
      </c>
      <c r="G180" s="34">
        <v>0.42976799999999998</v>
      </c>
      <c r="H180" s="34">
        <v>0.41413938</v>
      </c>
      <c r="I180" s="34">
        <v>-0.015628619999999989</v>
      </c>
      <c r="J180" s="34">
        <v>0.015628619999999989</v>
      </c>
      <c r="L180" s="34">
        <v>24.059110281306388</v>
      </c>
      <c r="M180" s="34">
        <v>1.2299850432000001</v>
      </c>
      <c r="N180" s="34">
        <v>1.1922995712000002</v>
      </c>
      <c r="O180" s="34">
        <v>-0.037685472000000129</v>
      </c>
      <c r="P180" s="34">
        <v>0.037685472000000129</v>
      </c>
    </row>
    <row r="181">
      <c r="A181" s="1" t="s">
        <v>96</v>
      </c>
    </row>
    <row r="182">
      <c r="A182">
        <v>1165</v>
      </c>
      <c r="B182">
        <v>2194301.5550000002</v>
      </c>
      <c r="C182">
        <v>6703230.4740000004</v>
      </c>
      <c r="D182">
        <v>74.475999999999999</v>
      </c>
      <c r="E182">
        <v>539</v>
      </c>
      <c r="F182" s="58">
        <v>1.1443057895192272</v>
      </c>
      <c r="G182" s="34">
        <v>0.29870400000000003</v>
      </c>
      <c r="H182" s="34">
        <v>0.48377429280000001</v>
      </c>
      <c r="I182" s="34">
        <v>0.18507029280000001</v>
      </c>
      <c r="J182" s="34">
        <v>0.18507029280000001</v>
      </c>
      <c r="L182" s="34">
        <v>1.1443057895192272</v>
      </c>
      <c r="M182" s="34">
        <v>0.21999732480000003</v>
      </c>
      <c r="N182" s="34">
        <v>0.1429615632</v>
      </c>
      <c r="O182" s="34">
        <v>-0.07703576160000003</v>
      </c>
      <c r="P182" s="34">
        <v>0.07703576160000003</v>
      </c>
    </row>
    <row r="183">
      <c r="A183">
        <v>1166</v>
      </c>
      <c r="B183">
        <v>2194310.1430000002</v>
      </c>
      <c r="C183">
        <v>6703229.3399999999</v>
      </c>
      <c r="D183">
        <v>74.168999999999997</v>
      </c>
      <c r="E183">
        <v>539</v>
      </c>
      <c r="F183" s="58">
        <v>3.7846497540027877</v>
      </c>
      <c r="G183" s="34">
        <v>0.70408800000000005</v>
      </c>
      <c r="H183" s="34">
        <v>0.8102044248000001</v>
      </c>
      <c r="I183" s="34">
        <v>0.10611642480000004</v>
      </c>
      <c r="J183" s="34">
        <v>0.10611642480000004</v>
      </c>
      <c r="L183" s="34">
        <v>3.7846497540027877</v>
      </c>
      <c r="M183" s="34">
        <v>0.24384000000000003</v>
      </c>
      <c r="N183" s="34">
        <v>0.36911920079999999</v>
      </c>
      <c r="O183" s="34">
        <v>0.12527920079999996</v>
      </c>
      <c r="P183" s="34">
        <v>0.12527920079999996</v>
      </c>
    </row>
    <row r="184">
      <c r="A184">
        <v>1167</v>
      </c>
      <c r="B184">
        <v>2194318.8939999999</v>
      </c>
      <c r="C184">
        <v>6703229.3320000004</v>
      </c>
      <c r="D184">
        <v>73.760000000000005</v>
      </c>
      <c r="E184">
        <v>539</v>
      </c>
      <c r="F184" s="58">
        <v>6.451955668480192</v>
      </c>
      <c r="G184" s="34">
        <v>1.1186160000000001</v>
      </c>
      <c r="H184" s="34">
        <v>0.98125117440000009</v>
      </c>
      <c r="I184" s="34">
        <v>-0.13736482559999999</v>
      </c>
      <c r="J184" s="34">
        <v>0.13736482559999999</v>
      </c>
      <c r="L184" s="34">
        <v>6.451955668480192</v>
      </c>
      <c r="M184" s="34">
        <v>0.38999525760000009</v>
      </c>
      <c r="N184" s="34">
        <v>0.42519843840000004</v>
      </c>
      <c r="O184" s="34">
        <v>0.035203180799999949</v>
      </c>
      <c r="P184" s="34">
        <v>0.035203180799999949</v>
      </c>
    </row>
    <row r="185">
      <c r="A185">
        <v>1168</v>
      </c>
      <c r="B185">
        <v>2194328.1719999998</v>
      </c>
      <c r="C185">
        <v>6703229.1710000001</v>
      </c>
      <c r="D185">
        <v>73.456999999999994</v>
      </c>
      <c r="E185">
        <v>539</v>
      </c>
      <c r="F185" s="58">
        <v>9.28031581356373</v>
      </c>
      <c r="G185" s="34">
        <v>0.86868000000000012</v>
      </c>
      <c r="H185" s="34">
        <v>1.1086770816</v>
      </c>
      <c r="I185" s="34">
        <v>0.23999708160000005</v>
      </c>
      <c r="J185" s="34">
        <v>0.23999708160000005</v>
      </c>
      <c r="L185" s="34">
        <v>9.28031581356373</v>
      </c>
      <c r="M185" s="34">
        <v>0.36576000000000003</v>
      </c>
      <c r="N185" s="34">
        <v>0.52864725360000009</v>
      </c>
      <c r="O185" s="34">
        <v>0.16288725360000003</v>
      </c>
      <c r="P185" s="34">
        <v>0.16288725360000003</v>
      </c>
    </row>
    <row r="186">
      <c r="A186">
        <v>1169</v>
      </c>
      <c r="B186">
        <v>2194334.449</v>
      </c>
      <c r="C186">
        <v>6703229.051</v>
      </c>
      <c r="D186">
        <v>73.364999999999995</v>
      </c>
      <c r="E186">
        <v>539</v>
      </c>
      <c r="F186" s="58">
        <v>11.193895000942286</v>
      </c>
      <c r="G186" s="34">
        <v>1.5087600000000001</v>
      </c>
      <c r="H186" s="34">
        <v>1.1554446792000002</v>
      </c>
      <c r="I186" s="34">
        <v>-0.35331532080000005</v>
      </c>
      <c r="J186" s="34">
        <v>0.35331532080000005</v>
      </c>
      <c r="L186" s="34">
        <v>11.193895000942286</v>
      </c>
      <c r="M186" s="34">
        <v>0.49999392000000004</v>
      </c>
      <c r="N186" s="34">
        <v>0.62179230480000014</v>
      </c>
      <c r="O186" s="34">
        <v>0.12179838480000003</v>
      </c>
      <c r="P186" s="34">
        <v>0.12179838480000003</v>
      </c>
    </row>
    <row r="187">
      <c r="A187">
        <v>1170</v>
      </c>
      <c r="B187">
        <v>2194343.8480000002</v>
      </c>
      <c r="C187">
        <v>6703228.7249999996</v>
      </c>
      <c r="D187">
        <v>73.125</v>
      </c>
      <c r="E187">
        <v>539</v>
      </c>
      <c r="F187" s="58">
        <v>14.060432894293012</v>
      </c>
      <c r="G187" s="34">
        <v>1.331976</v>
      </c>
      <c r="H187" s="34">
        <v>1.17594888</v>
      </c>
      <c r="I187" s="34">
        <v>-0.15602712000000007</v>
      </c>
      <c r="J187" s="34">
        <v>0.15602712000000007</v>
      </c>
      <c r="L187" s="34">
        <v>14.060432894293012</v>
      </c>
      <c r="M187" s="34">
        <v>0.64008000000000009</v>
      </c>
      <c r="N187" s="34">
        <v>0.75050538240000009</v>
      </c>
      <c r="O187" s="34">
        <v>0.11042538239999999</v>
      </c>
      <c r="P187" s="34">
        <v>0.11042538239999999</v>
      </c>
    </row>
    <row r="188">
      <c r="A188">
        <v>1171</v>
      </c>
      <c r="B188">
        <v>2194352.1919999998</v>
      </c>
      <c r="C188">
        <v>6703228.4009999996</v>
      </c>
      <c r="D188">
        <v>73.177999999999997</v>
      </c>
      <c r="E188">
        <v>539</v>
      </c>
      <c r="F188" s="58">
        <v>16.605600718852212</v>
      </c>
      <c r="G188" s="34">
        <v>1.4996160000000001</v>
      </c>
      <c r="H188" s="34">
        <v>1.1013890088</v>
      </c>
      <c r="I188" s="34">
        <v>-0.39822699119999994</v>
      </c>
      <c r="J188" s="34">
        <v>0.39822699119999994</v>
      </c>
      <c r="L188" s="34">
        <v>16.605600718852212</v>
      </c>
      <c r="M188" s="34">
        <v>0.65999197440000013</v>
      </c>
      <c r="N188" s="34">
        <v>0.64109437439999994</v>
      </c>
      <c r="O188" s="34">
        <v>-0.018897600000000084</v>
      </c>
      <c r="P188" s="34">
        <v>0.018897600000000084</v>
      </c>
    </row>
    <row r="189">
      <c r="A189">
        <v>1172</v>
      </c>
      <c r="B189">
        <v>2194361.6740000001</v>
      </c>
      <c r="C189">
        <v>6703227.0930000003</v>
      </c>
      <c r="D189">
        <v>73.593999999999994</v>
      </c>
      <c r="E189">
        <v>539</v>
      </c>
      <c r="F189" s="58">
        <v>19.523082696156788</v>
      </c>
      <c r="G189" s="34">
        <v>1.2496799999999999</v>
      </c>
      <c r="H189" s="34">
        <v>0.94946083920000002</v>
      </c>
      <c r="I189" s="34">
        <v>-0.30021916079999994</v>
      </c>
      <c r="J189" s="34">
        <v>0.30021916079999994</v>
      </c>
      <c r="L189" s="34">
        <v>19.523082696156788</v>
      </c>
      <c r="M189" s="34">
        <v>0.45720000000000005</v>
      </c>
      <c r="N189" s="34">
        <v>0.477816672</v>
      </c>
      <c r="O189" s="34">
        <v>0.020616671999999978</v>
      </c>
      <c r="P189" s="34">
        <v>0.020616671999999978</v>
      </c>
    </row>
    <row r="190">
      <c r="A190">
        <v>1173</v>
      </c>
      <c r="B190">
        <v>2194369.2560000001</v>
      </c>
      <c r="C190">
        <v>6703227.2769999998</v>
      </c>
      <c r="D190">
        <v>73.546000000000006</v>
      </c>
      <c r="E190">
        <v>539</v>
      </c>
      <c r="F190" s="58">
        <v>21.834756709605561</v>
      </c>
      <c r="G190" s="34">
        <v>1.0850880000000001</v>
      </c>
      <c r="H190" s="34">
        <v>0.80133657359999999</v>
      </c>
      <c r="I190" s="34">
        <v>-0.28375142640000006</v>
      </c>
      <c r="J190" s="34">
        <v>0.28375142640000006</v>
      </c>
      <c r="L190" s="34">
        <v>21.834756709605561</v>
      </c>
      <c r="M190" s="34">
        <v>0.45720000000000005</v>
      </c>
      <c r="N190" s="34">
        <v>0.34542374400000003</v>
      </c>
      <c r="O190" s="34">
        <v>-0.11177625599999999</v>
      </c>
      <c r="P190" s="34">
        <v>0.11177625599999999</v>
      </c>
    </row>
    <row r="191">
      <c r="A191">
        <v>1174</v>
      </c>
      <c r="B191">
        <v>2194381.3599999999</v>
      </c>
      <c r="C191">
        <v>6703225.4189999998</v>
      </c>
      <c r="D191">
        <v>74.629999999999995</v>
      </c>
      <c r="E191">
        <v>539</v>
      </c>
      <c r="F191" s="58">
        <v>25.567268614059614</v>
      </c>
      <c r="G191" s="34">
        <v>0.420624</v>
      </c>
      <c r="H191" s="34">
        <v>0.621968784</v>
      </c>
      <c r="I191" s="34">
        <v>0.201344784</v>
      </c>
      <c r="J191" s="34">
        <v>0.201344784</v>
      </c>
      <c r="L191" s="34">
        <v>25.567268614059614</v>
      </c>
      <c r="M191" s="34">
        <v>0.10999866240000002</v>
      </c>
      <c r="N191" s="34">
        <v>0.19590197040000001</v>
      </c>
      <c r="O191" s="34">
        <v>0.085903308000000012</v>
      </c>
      <c r="P191" s="34">
        <v>0.085903308000000012</v>
      </c>
    </row>
    <row r="192">
      <c r="A192" s="1" t="s">
        <v>55</v>
      </c>
    </row>
    <row r="193">
      <c r="A193">
        <v>1175</v>
      </c>
      <c r="B193">
        <v>2206849.7489999998</v>
      </c>
      <c r="C193">
        <v>6750293.0590000004</v>
      </c>
      <c r="D193">
        <v>196.56999999999999</v>
      </c>
      <c r="E193">
        <v>797</v>
      </c>
      <c r="F193" s="58">
        <v>0.85627173817819946</v>
      </c>
      <c r="G193" s="34">
        <v>0.210312</v>
      </c>
      <c r="H193" s="34">
        <v>0</v>
      </c>
      <c r="I193" s="34">
        <v>-0.210312</v>
      </c>
      <c r="J193" s="34">
        <v>0.210312</v>
      </c>
      <c r="L193" s="34">
        <v>0.85627173817819946</v>
      </c>
      <c r="M193" s="34">
        <v>0.25999683840000004</v>
      </c>
      <c r="N193" s="34">
        <v>0</v>
      </c>
      <c r="O193" s="34">
        <v>-0.25999683840000004</v>
      </c>
      <c r="P193" s="34">
        <v>0.25999683840000004</v>
      </c>
    </row>
    <row r="194">
      <c r="A194">
        <v>1176</v>
      </c>
      <c r="B194">
        <v>2206859.4300000002</v>
      </c>
      <c r="C194">
        <v>6750293.3509999998</v>
      </c>
      <c r="D194">
        <v>195.56399999999999</v>
      </c>
      <c r="E194">
        <v>797</v>
      </c>
      <c r="F194" s="58">
        <v>3.8083824739775305</v>
      </c>
      <c r="G194" s="34">
        <v>0.521208</v>
      </c>
      <c r="H194" s="34">
        <v>0.12654838800000001</v>
      </c>
      <c r="I194" s="34">
        <v>-0.39465961199999999</v>
      </c>
      <c r="J194" s="34">
        <v>0.39465961199999999</v>
      </c>
      <c r="L194" s="34">
        <v>3.8083824739775305</v>
      </c>
      <c r="M194" s="34">
        <v>0.51816000000000006</v>
      </c>
      <c r="N194" s="34">
        <v>0</v>
      </c>
      <c r="O194" s="34">
        <v>-0.51816000000000006</v>
      </c>
      <c r="P194" s="34">
        <v>0.51816000000000006</v>
      </c>
    </row>
    <row r="195">
      <c r="A195">
        <v>1177</v>
      </c>
      <c r="B195">
        <v>2206869.8289999999</v>
      </c>
      <c r="C195">
        <v>6750293.7620000001</v>
      </c>
      <c r="D195">
        <v>196.22999999999999</v>
      </c>
      <c r="E195">
        <v>797</v>
      </c>
      <c r="F195" s="58">
        <v>6.9804722882826225</v>
      </c>
      <c r="G195" s="34">
        <v>0.521208</v>
      </c>
      <c r="H195" s="34">
        <v>0.49872138000000005</v>
      </c>
      <c r="I195" s="34">
        <v>-0.022486619999999978</v>
      </c>
      <c r="J195" s="34">
        <v>0.022486619999999978</v>
      </c>
      <c r="L195" s="34">
        <v>6.9804722882826225</v>
      </c>
      <c r="M195" s="34">
        <v>0.38999525760000009</v>
      </c>
      <c r="N195" s="34">
        <v>0.17847259199999999</v>
      </c>
      <c r="O195" s="34">
        <v>-0.21152266560000008</v>
      </c>
      <c r="P195" s="34">
        <v>0.21152266560000008</v>
      </c>
    </row>
    <row r="196">
      <c r="A196">
        <v>1178</v>
      </c>
      <c r="B196">
        <v>2206883.4980000001</v>
      </c>
      <c r="C196">
        <v>6750294.4309999999</v>
      </c>
      <c r="D196">
        <v>196.245</v>
      </c>
      <c r="E196">
        <v>797</v>
      </c>
      <c r="F196" s="58">
        <v>11.151770502661257</v>
      </c>
      <c r="G196" s="34">
        <v>0.68580000000000008</v>
      </c>
      <c r="H196" s="34">
        <v>0.70243567920000005</v>
      </c>
      <c r="I196" s="34">
        <v>0.016635679199999979</v>
      </c>
      <c r="J196" s="34">
        <v>0.016635679199999979</v>
      </c>
      <c r="L196" s="34">
        <v>11.151770502661257</v>
      </c>
      <c r="M196" s="34">
        <v>0.30480000000000002</v>
      </c>
      <c r="N196" s="34">
        <v>0.45986547600000005</v>
      </c>
      <c r="O196" s="34">
        <v>0.15506547600000001</v>
      </c>
      <c r="P196" s="34">
        <v>0.15506547600000001</v>
      </c>
    </row>
    <row r="197">
      <c r="A197">
        <v>1179</v>
      </c>
      <c r="B197">
        <v>2206894.693</v>
      </c>
      <c r="C197">
        <v>6750293.5199999996</v>
      </c>
      <c r="D197">
        <v>195.55799999999999</v>
      </c>
      <c r="E197">
        <v>797</v>
      </c>
      <c r="F197" s="58">
        <v>14.575285757959549</v>
      </c>
      <c r="G197" s="34">
        <v>0.7406640000000001</v>
      </c>
      <c r="H197" s="34">
        <v>0.77418194159999998</v>
      </c>
      <c r="I197" s="34">
        <v>0.033517941599999913</v>
      </c>
      <c r="J197" s="34">
        <v>0.033517941599999913</v>
      </c>
      <c r="L197" s="34">
        <v>14.575285757959549</v>
      </c>
      <c r="M197" s="34">
        <v>0.48999404160000004</v>
      </c>
      <c r="N197" s="34">
        <v>0.52808002080000005</v>
      </c>
      <c r="O197" s="34">
        <v>0.038085979199999939</v>
      </c>
      <c r="P197" s="34">
        <v>0.038085979199999939</v>
      </c>
    </row>
    <row r="198">
      <c r="A198">
        <v>1180</v>
      </c>
      <c r="B198">
        <v>2206906.2370000002</v>
      </c>
      <c r="C198">
        <v>6750293.1129999999</v>
      </c>
      <c r="D198">
        <v>195.01300000000001</v>
      </c>
      <c r="E198">
        <v>797</v>
      </c>
      <c r="F198" s="58">
        <v>18.096083121185657</v>
      </c>
      <c r="G198" s="34">
        <v>0.7406640000000001</v>
      </c>
      <c r="H198" s="34">
        <v>0.80811410640000003</v>
      </c>
      <c r="I198" s="34">
        <v>0.067450106399999918</v>
      </c>
      <c r="J198" s="34">
        <v>0.067450106399999918</v>
      </c>
      <c r="L198" s="34">
        <v>18.096083121185657</v>
      </c>
      <c r="M198" s="34">
        <v>0.67999173120000023</v>
      </c>
      <c r="N198" s="34">
        <v>0.72589217280000007</v>
      </c>
      <c r="O198" s="34">
        <v>0.045900441599999883</v>
      </c>
      <c r="P198" s="34">
        <v>0.045900441599999883</v>
      </c>
    </row>
    <row r="199">
      <c r="A199">
        <v>1181</v>
      </c>
      <c r="B199">
        <v>2206917.3960000002</v>
      </c>
      <c r="C199">
        <v>6750292.2230000002</v>
      </c>
      <c r="D199">
        <v>194.93100000000001</v>
      </c>
      <c r="E199">
        <v>797</v>
      </c>
      <c r="F199" s="58">
        <v>21.508146991275414</v>
      </c>
      <c r="G199" s="34">
        <v>0.77114399999999994</v>
      </c>
      <c r="H199" s="34">
        <v>0.8317211712</v>
      </c>
      <c r="I199" s="34">
        <v>0.060577171200000016</v>
      </c>
      <c r="J199" s="34">
        <v>0.060577171200000016</v>
      </c>
      <c r="L199" s="34">
        <v>21.508146991275414</v>
      </c>
      <c r="M199" s="34">
        <v>0.73152000000000006</v>
      </c>
      <c r="N199" s="34">
        <v>0.72752620560000003</v>
      </c>
      <c r="O199" s="34">
        <v>-0.0039937944000000263</v>
      </c>
      <c r="P199" s="34">
        <v>0.0039937944000000263</v>
      </c>
    </row>
    <row r="200">
      <c r="A200">
        <v>1182</v>
      </c>
      <c r="B200">
        <v>2206926.4819999998</v>
      </c>
      <c r="C200">
        <v>6750292.3969999999</v>
      </c>
      <c r="D200">
        <v>193.898</v>
      </c>
      <c r="E200">
        <v>797</v>
      </c>
      <c r="F200" s="58">
        <v>24.278067565706969</v>
      </c>
      <c r="G200" s="34">
        <v>0.85953599999999997</v>
      </c>
      <c r="H200" s="34">
        <v>0.85615028160000006</v>
      </c>
      <c r="I200" s="34">
        <v>-0.0033857183999999006</v>
      </c>
      <c r="J200" s="34">
        <v>0.0033857183999999006</v>
      </c>
      <c r="L200" s="34">
        <v>24.278067565706969</v>
      </c>
      <c r="M200" s="34">
        <v>1.0199875968000001</v>
      </c>
      <c r="N200" s="34">
        <v>0.7328053416000001</v>
      </c>
      <c r="O200" s="34">
        <v>-0.28718225520000001</v>
      </c>
      <c r="P200" s="34">
        <v>0.28718225520000001</v>
      </c>
    </row>
    <row r="201">
      <c r="A201">
        <v>1183</v>
      </c>
      <c r="B201">
        <v>2206939.7319999998</v>
      </c>
      <c r="C201">
        <v>6750292.4299999997</v>
      </c>
      <c r="D201">
        <v>193.947</v>
      </c>
      <c r="E201">
        <v>797</v>
      </c>
      <c r="F201" s="58">
        <v>28.316680091242123</v>
      </c>
      <c r="G201" s="34">
        <v>0.91744799999999993</v>
      </c>
      <c r="H201" s="34">
        <v>0.88163643840000006</v>
      </c>
      <c r="I201" s="34">
        <v>-0.035811561599999979</v>
      </c>
      <c r="J201" s="34">
        <v>0.035811561599999979</v>
      </c>
      <c r="L201" s="34">
        <v>28.316680091242123</v>
      </c>
      <c r="M201" s="34">
        <v>0.97536000000000012</v>
      </c>
      <c r="N201" s="34">
        <v>0.73219665599999995</v>
      </c>
      <c r="O201" s="34">
        <v>-0.24316334400000011</v>
      </c>
      <c r="P201" s="34">
        <v>0.24316334400000011</v>
      </c>
    </row>
    <row r="202">
      <c r="A202">
        <v>1184</v>
      </c>
      <c r="B202">
        <v>2206950.6430000002</v>
      </c>
      <c r="C202">
        <v>6750291.3590000002</v>
      </c>
      <c r="D202">
        <v>194.822</v>
      </c>
      <c r="E202">
        <v>797</v>
      </c>
      <c r="F202" s="58">
        <v>31.658335843875165</v>
      </c>
      <c r="G202" s="34">
        <v>0.78028800000000009</v>
      </c>
      <c r="H202" s="34">
        <v>0.89863086720000007</v>
      </c>
      <c r="I202" s="34">
        <v>0.11834286719999999</v>
      </c>
      <c r="J202" s="34">
        <v>0.11834286719999999</v>
      </c>
      <c r="L202" s="34">
        <v>31.658335843875165</v>
      </c>
      <c r="M202" s="34">
        <v>0.699991488</v>
      </c>
      <c r="N202" s="34">
        <v>0.7476966504</v>
      </c>
      <c r="O202" s="34">
        <v>0.047705162399999973</v>
      </c>
      <c r="P202" s="34">
        <v>0.047705162399999973</v>
      </c>
    </row>
    <row r="203">
      <c r="A203">
        <v>1185</v>
      </c>
      <c r="B203">
        <v>2206961.0279999999</v>
      </c>
      <c r="C203">
        <v>6750290.0329999998</v>
      </c>
      <c r="D203">
        <v>195.08199999999999</v>
      </c>
      <c r="E203">
        <v>797</v>
      </c>
      <c r="F203" s="58">
        <v>34.849382246909443</v>
      </c>
      <c r="G203" s="34">
        <v>0.95097600000000004</v>
      </c>
      <c r="H203" s="34">
        <v>0.92366165280000001</v>
      </c>
      <c r="I203" s="34">
        <v>-0.027314347200000026</v>
      </c>
      <c r="J203" s="34">
        <v>0.027314347200000026</v>
      </c>
      <c r="L203" s="34">
        <v>34.849382246909443</v>
      </c>
      <c r="M203" s="34">
        <v>0.60960000000000003</v>
      </c>
      <c r="N203" s="34">
        <v>0.73821828479999996</v>
      </c>
      <c r="O203" s="34">
        <v>0.12861828479999998</v>
      </c>
      <c r="P203" s="34">
        <v>0.12861828479999998</v>
      </c>
    </row>
    <row r="204">
      <c r="A204">
        <v>1186</v>
      </c>
      <c r="B204">
        <v>2206971.6570000001</v>
      </c>
      <c r="C204">
        <v>6750290.3880000003</v>
      </c>
      <c r="D204">
        <v>195.542</v>
      </c>
      <c r="E204">
        <v>797</v>
      </c>
      <c r="F204" s="58">
        <v>38.090907906358915</v>
      </c>
      <c r="G204" s="34">
        <v>0.91135200000000016</v>
      </c>
      <c r="H204" s="34">
        <v>0.9387964968000001</v>
      </c>
      <c r="I204" s="34">
        <v>0.027444496799999944</v>
      </c>
      <c r="J204" s="34">
        <v>0.027444496799999944</v>
      </c>
      <c r="L204" s="34">
        <v>38.090907906358915</v>
      </c>
      <c r="M204" s="34">
        <v>0.64999209600000007</v>
      </c>
      <c r="N204" s="34">
        <v>0.64984914480000011</v>
      </c>
      <c r="O204" s="34">
        <v>-0.0001429511999999484</v>
      </c>
      <c r="P204" s="34">
        <v>0.0001429511999999484</v>
      </c>
    </row>
    <row r="205">
      <c r="A205">
        <v>1187</v>
      </c>
      <c r="B205">
        <v>2206984.7280000001</v>
      </c>
      <c r="C205">
        <v>6750290.9239999996</v>
      </c>
      <c r="D205">
        <v>195.637</v>
      </c>
      <c r="E205">
        <v>797</v>
      </c>
      <c r="F205" s="58">
        <v>42.078296997954297</v>
      </c>
      <c r="G205" s="34">
        <v>0.96926400000000013</v>
      </c>
      <c r="H205" s="34">
        <v>0.90425198880000002</v>
      </c>
      <c r="I205" s="34">
        <v>-0.065012011200000094</v>
      </c>
      <c r="J205" s="34">
        <v>0.065012011200000094</v>
      </c>
      <c r="L205" s="34">
        <v>42.078296997954297</v>
      </c>
      <c r="M205" s="34">
        <v>0.51816000000000006</v>
      </c>
      <c r="N205" s="34">
        <v>0.56375289839999998</v>
      </c>
      <c r="O205" s="34">
        <v>0.045592898400000012</v>
      </c>
      <c r="P205" s="34">
        <v>0.045592898400000012</v>
      </c>
    </row>
    <row r="206">
      <c r="A206">
        <v>1188</v>
      </c>
      <c r="B206">
        <v>2206994.2829999998</v>
      </c>
      <c r="C206">
        <v>6750289.9639999997</v>
      </c>
      <c r="D206">
        <v>195.34800000000001</v>
      </c>
      <c r="E206">
        <v>797</v>
      </c>
      <c r="F206" s="58">
        <v>45.005323391689799</v>
      </c>
      <c r="G206" s="34">
        <v>0.78028800000000009</v>
      </c>
      <c r="H206" s="34">
        <v>0.85162064879999999</v>
      </c>
      <c r="I206" s="34">
        <v>0.071332648799999968</v>
      </c>
      <c r="J206" s="34">
        <v>0.071332648799999968</v>
      </c>
      <c r="L206" s="34">
        <v>45.005323391689799</v>
      </c>
      <c r="M206" s="34">
        <v>0.52999355520000002</v>
      </c>
      <c r="N206" s="34">
        <v>0.39194323440000001</v>
      </c>
      <c r="O206" s="34">
        <v>-0.13805032080000004</v>
      </c>
      <c r="P206" s="34">
        <v>0.13805032080000004</v>
      </c>
    </row>
    <row r="207">
      <c r="A207">
        <v>1189</v>
      </c>
      <c r="B207">
        <v>2207006.2590000001</v>
      </c>
      <c r="C207">
        <v>6750289.8430000003</v>
      </c>
      <c r="D207">
        <v>196.38999999999999</v>
      </c>
      <c r="E207">
        <v>797</v>
      </c>
      <c r="F207" s="58">
        <v>48.655794500338232</v>
      </c>
      <c r="G207" s="34">
        <v>0.38709600000000005</v>
      </c>
      <c r="H207" s="34">
        <v>0.71685668160000005</v>
      </c>
      <c r="I207" s="34">
        <v>0.32976068159999999</v>
      </c>
      <c r="J207" s="34">
        <v>0.32976068159999999</v>
      </c>
      <c r="L207" s="34">
        <v>48.655794500338232</v>
      </c>
      <c r="M207" s="34">
        <v>0.30480000000000002</v>
      </c>
      <c r="N207" s="34">
        <v>0.23634131040000003</v>
      </c>
      <c r="O207" s="34">
        <v>-0.068458689599999997</v>
      </c>
      <c r="P207" s="34">
        <v>0.068458689599999997</v>
      </c>
    </row>
    <row r="208">
      <c r="A208">
        <v>1190</v>
      </c>
      <c r="B208">
        <v>2207016.0899999999</v>
      </c>
      <c r="C208">
        <v>6750289.7180000003</v>
      </c>
      <c r="D208">
        <v>196.74600000000001</v>
      </c>
      <c r="E208">
        <v>797</v>
      </c>
      <c r="F208" s="58">
        <v>51.652525508972523</v>
      </c>
      <c r="G208" s="34">
        <v>0.17068800000000003</v>
      </c>
      <c r="H208" s="34">
        <v>0.55399411679999999</v>
      </c>
      <c r="I208" s="34">
        <v>0.38330611679999999</v>
      </c>
      <c r="J208" s="34">
        <v>0.38330611679999999</v>
      </c>
      <c r="L208" s="34">
        <v>51.652525508972523</v>
      </c>
      <c r="M208" s="34">
        <v>0.1199985408</v>
      </c>
      <c r="N208" s="34">
        <v>0.15930951120000003</v>
      </c>
      <c r="O208" s="34">
        <v>0.03931097040000002</v>
      </c>
      <c r="P208" s="34">
        <v>0.03931097040000002</v>
      </c>
    </row>
    <row r="209">
      <c r="A209">
        <v>1191</v>
      </c>
      <c r="B209">
        <v>2207028.6889999998</v>
      </c>
      <c r="C209">
        <v>6750290.6090000002</v>
      </c>
      <c r="D209">
        <v>196.81800000000001</v>
      </c>
      <c r="E209">
        <v>797</v>
      </c>
      <c r="F209" s="58">
        <v>55.502291673923224</v>
      </c>
      <c r="G209" s="34">
        <v>0.11887200000000001</v>
      </c>
      <c r="H209" s="34">
        <v>0.27945222240000001</v>
      </c>
      <c r="I209" s="34">
        <v>0.16058022240000003</v>
      </c>
      <c r="J209" s="34">
        <v>0.16058022240000003</v>
      </c>
      <c r="L209" s="34">
        <v>55.502291673923224</v>
      </c>
      <c r="M209" s="34">
        <v>0.12999841920000002</v>
      </c>
      <c r="N209" s="34">
        <v>0.1171882848</v>
      </c>
      <c r="O209" s="34">
        <v>-0.01281013440000002</v>
      </c>
      <c r="P209" s="34">
        <v>0.01281013440000002</v>
      </c>
    </row>
    <row r="210">
      <c r="A210">
        <v>1192</v>
      </c>
      <c r="B210">
        <v>2207041.3900000001</v>
      </c>
      <c r="C210">
        <v>6750290.8499999996</v>
      </c>
      <c r="D210">
        <v>196.56299999999999</v>
      </c>
      <c r="E210">
        <v>797</v>
      </c>
      <c r="F210" s="58">
        <v>59.374253328432133</v>
      </c>
      <c r="G210" s="34">
        <v>0.15849600000000003</v>
      </c>
      <c r="H210" s="34">
        <v>0.2055613872</v>
      </c>
      <c r="I210" s="34">
        <v>0.047065387199999982</v>
      </c>
      <c r="J210" s="34">
        <v>0.047065387199999982</v>
      </c>
      <c r="L210" s="34">
        <v>59.374253328432133</v>
      </c>
      <c r="M210" s="34">
        <v>0.12999841920000002</v>
      </c>
      <c r="N210" s="34">
        <v>0.1131426744</v>
      </c>
      <c r="O210" s="34">
        <v>-0.016855744800000013</v>
      </c>
      <c r="P210" s="34">
        <v>0.016855744800000013</v>
      </c>
    </row>
    <row r="211">
      <c r="A211">
        <v>1193</v>
      </c>
      <c r="B211">
        <v>2207052.2960000001</v>
      </c>
      <c r="C211">
        <v>6750291.1799999997</v>
      </c>
      <c r="D211">
        <v>196.459</v>
      </c>
      <c r="E211">
        <v>797</v>
      </c>
      <c r="F211" s="58">
        <v>62.699923544421537</v>
      </c>
      <c r="G211" s="34">
        <v>0.29870400000000003</v>
      </c>
      <c r="H211" s="34">
        <v>0.24577578480000004</v>
      </c>
      <c r="I211" s="34">
        <v>-0.052928215199999983</v>
      </c>
      <c r="J211" s="34">
        <v>0.052928215199999983</v>
      </c>
      <c r="L211" s="34">
        <v>62.699923544421537</v>
      </c>
      <c r="M211" s="34">
        <v>0.19999756800000004</v>
      </c>
      <c r="N211" s="34">
        <v>0.17520513600000001</v>
      </c>
      <c r="O211" s="34">
        <v>-0.024792432000000024</v>
      </c>
      <c r="P211" s="34">
        <v>0.024792432000000024</v>
      </c>
    </row>
    <row r="212">
      <c r="A212">
        <v>1194</v>
      </c>
      <c r="B212">
        <v>2207063.5419999999</v>
      </c>
      <c r="C212">
        <v>6750291.9780000001</v>
      </c>
      <c r="D212">
        <v>195.971</v>
      </c>
      <c r="E212">
        <v>797</v>
      </c>
      <c r="F212" s="58">
        <v>66.136323148658164</v>
      </c>
      <c r="G212" s="34">
        <v>0.27127200000000001</v>
      </c>
      <c r="H212" s="34">
        <v>0.22610460239999999</v>
      </c>
      <c r="I212" s="34">
        <v>-0.04516739760000002</v>
      </c>
      <c r="J212" s="34">
        <v>0.04516739760000002</v>
      </c>
      <c r="L212" s="34">
        <v>66.136323148658164</v>
      </c>
      <c r="M212" s="34">
        <v>0.36576000000000003</v>
      </c>
      <c r="N212" s="34">
        <v>0.29634454320000003</v>
      </c>
      <c r="O212" s="34">
        <v>-0.069415456799999997</v>
      </c>
      <c r="P212" s="34">
        <v>0.069415456799999997</v>
      </c>
    </row>
    <row r="213">
      <c r="A213">
        <v>1195</v>
      </c>
      <c r="B213">
        <v>2207073.5789999999</v>
      </c>
      <c r="C213">
        <v>6750290.1220000004</v>
      </c>
      <c r="D213">
        <v>195.559</v>
      </c>
      <c r="E213">
        <v>797</v>
      </c>
      <c r="F213" s="58">
        <v>69.247465363371205</v>
      </c>
      <c r="G213" s="34">
        <v>0.32004000000000005</v>
      </c>
      <c r="H213" s="34">
        <v>0.20414193360000002</v>
      </c>
      <c r="I213" s="34">
        <v>-0.1158980664</v>
      </c>
      <c r="J213" s="34">
        <v>0.1158980664</v>
      </c>
      <c r="L213" s="34">
        <v>69.247465363371205</v>
      </c>
      <c r="M213" s="34">
        <v>0.46999428480000005</v>
      </c>
      <c r="N213" s="34">
        <v>0.40114849920000001</v>
      </c>
      <c r="O213" s="34">
        <v>-0.068845785600000028</v>
      </c>
      <c r="P213" s="34">
        <v>0.068845785600000028</v>
      </c>
    </row>
    <row r="214">
      <c r="A214">
        <v>1196</v>
      </c>
      <c r="B214">
        <v>2207085.0060000001</v>
      </c>
      <c r="C214">
        <v>6750288.9869999997</v>
      </c>
      <c r="D214">
        <v>195.453</v>
      </c>
      <c r="E214">
        <v>797</v>
      </c>
      <c r="F214" s="58">
        <v>72.747553638728562</v>
      </c>
      <c r="G214" s="34">
        <v>0.32308800000000004</v>
      </c>
      <c r="H214" s="34">
        <v>0.1779550416</v>
      </c>
      <c r="I214" s="34">
        <v>-0.14513295840000004</v>
      </c>
      <c r="J214" s="34">
        <v>0.14513295840000004</v>
      </c>
      <c r="L214" s="34">
        <v>72.747553638728562</v>
      </c>
      <c r="M214" s="34">
        <v>0.48768000000000006</v>
      </c>
      <c r="N214" s="34">
        <v>0.55249358640000001</v>
      </c>
      <c r="O214" s="34">
        <v>0.064813586399999984</v>
      </c>
      <c r="P214" s="34">
        <v>0.064813586399999984</v>
      </c>
    </row>
    <row r="215">
      <c r="A215">
        <v>1197</v>
      </c>
      <c r="B215">
        <v>2207094.0359999998</v>
      </c>
      <c r="C215">
        <v>6750287.1330000004</v>
      </c>
      <c r="D215">
        <v>195.15600000000001</v>
      </c>
      <c r="E215">
        <v>797</v>
      </c>
      <c r="F215" s="58">
        <v>75.557310674418574</v>
      </c>
      <c r="G215" s="34">
        <v>0.24993599999999999</v>
      </c>
      <c r="H215" s="34">
        <v>0.16054120800000002</v>
      </c>
      <c r="I215" s="34">
        <v>-0.089394791999999987</v>
      </c>
      <c r="J215" s="34">
        <v>0.089394791999999987</v>
      </c>
      <c r="L215" s="34">
        <v>75.557310674418574</v>
      </c>
      <c r="M215" s="34">
        <v>0.61999246080000003</v>
      </c>
      <c r="N215" s="34">
        <v>0.51252455279999998</v>
      </c>
      <c r="O215" s="34">
        <v>-0.10746790799999999</v>
      </c>
      <c r="P215" s="34">
        <v>0.10746790799999999</v>
      </c>
    </row>
    <row r="216">
      <c r="A216">
        <v>1198</v>
      </c>
      <c r="B216">
        <v>2207105.7629999998</v>
      </c>
      <c r="C216">
        <v>6750285.6979999999</v>
      </c>
      <c r="D216">
        <v>196.005</v>
      </c>
      <c r="E216">
        <v>797</v>
      </c>
      <c r="F216" s="58">
        <v>79.158361809181002</v>
      </c>
      <c r="G216" s="34">
        <v>0.155448</v>
      </c>
      <c r="H216" s="34">
        <v>0.11679570239999999</v>
      </c>
      <c r="I216" s="34">
        <v>-0.03865229760000001</v>
      </c>
      <c r="J216" s="34">
        <v>0.03865229760000001</v>
      </c>
      <c r="L216" s="34">
        <v>79.158361809181002</v>
      </c>
      <c r="M216" s="34">
        <v>0.36576000000000003</v>
      </c>
      <c r="N216" s="34">
        <v>0.2834140128</v>
      </c>
      <c r="O216" s="34">
        <v>-0.082345987199999998</v>
      </c>
      <c r="P216" s="34">
        <v>0.082345987199999998</v>
      </c>
    </row>
    <row r="217">
      <c r="A217">
        <v>1199</v>
      </c>
      <c r="B217">
        <v>2207115.7510000002</v>
      </c>
      <c r="C217">
        <v>6750283.659</v>
      </c>
      <c r="D217">
        <v>196.50399999999999</v>
      </c>
      <c r="E217">
        <v>797</v>
      </c>
      <c r="F217" s="58">
        <v>82.265493442830319</v>
      </c>
      <c r="G217" s="34">
        <v>0.079248000000000013</v>
      </c>
      <c r="H217" s="34">
        <v>0.044305727999999996</v>
      </c>
      <c r="I217" s="34">
        <v>-0.03494227200000001</v>
      </c>
      <c r="J217" s="34">
        <v>0.03494227200000001</v>
      </c>
      <c r="L217" s="34">
        <v>82.265493442830319</v>
      </c>
      <c r="M217" s="34">
        <v>0.18999768960000002</v>
      </c>
      <c r="N217" s="34">
        <v>0.048045319199999999</v>
      </c>
      <c r="O217" s="34">
        <v>-0.1419523704</v>
      </c>
      <c r="P217" s="34">
        <v>0.1419523704</v>
      </c>
    </row>
    <row r="218">
      <c r="A218" s="1" t="s">
        <v>58</v>
      </c>
    </row>
    <row r="219">
      <c r="A219">
        <v>1200</v>
      </c>
      <c r="B219">
        <v>2207024.1299999999</v>
      </c>
      <c r="C219">
        <v>6750623.4179999996</v>
      </c>
      <c r="D219">
        <v>197.76599999999999</v>
      </c>
      <c r="E219">
        <v>797</v>
      </c>
      <c r="F219" s="58">
        <v>1.5883413436176155</v>
      </c>
      <c r="G219" s="34">
        <v>0.24993599999999999</v>
      </c>
      <c r="H219" s="34">
        <v>0.31826697840000007</v>
      </c>
      <c r="I219" s="34">
        <v>0.068330978400000048</v>
      </c>
      <c r="J219" s="34">
        <v>0.068330978400000048</v>
      </c>
      <c r="L219" s="34">
        <v>1.5883413436176155</v>
      </c>
      <c r="M219" s="34">
        <v>0.25999683840000004</v>
      </c>
      <c r="N219" s="34">
        <v>0.024831446400000002</v>
      </c>
      <c r="O219" s="34">
        <v>-0.23516539200000006</v>
      </c>
      <c r="P219" s="34">
        <v>0.23516539200000006</v>
      </c>
    </row>
    <row r="220">
      <c r="A220">
        <v>1201</v>
      </c>
      <c r="B220">
        <v>2207015.3319999999</v>
      </c>
      <c r="C220">
        <v>6750623.1679999996</v>
      </c>
      <c r="D220">
        <v>197.37</v>
      </c>
      <c r="E220">
        <v>797</v>
      </c>
      <c r="F220" s="58">
        <v>4.2710541575663976</v>
      </c>
      <c r="G220" s="34">
        <v>0.53644800000000004</v>
      </c>
      <c r="H220" s="34">
        <v>0.51965900639999996</v>
      </c>
      <c r="I220" s="34">
        <v>-0.016788993600000024</v>
      </c>
      <c r="J220" s="34">
        <v>0.016788993600000024</v>
      </c>
      <c r="L220" s="34">
        <v>4.2710541575663976</v>
      </c>
      <c r="M220" s="34">
        <v>0.42671999999999999</v>
      </c>
      <c r="N220" s="34">
        <v>0.42409719600000001</v>
      </c>
      <c r="O220" s="34">
        <v>-0.002622803999999992</v>
      </c>
      <c r="P220" s="34">
        <v>0.002622803999999992</v>
      </c>
    </row>
    <row r="221">
      <c r="A221">
        <v>1202</v>
      </c>
      <c r="B221">
        <v>2207006.9900000002</v>
      </c>
      <c r="C221">
        <v>6750623.4450000003</v>
      </c>
      <c r="D221">
        <v>197.21100000000001</v>
      </c>
      <c r="E221">
        <v>797</v>
      </c>
      <c r="F221" s="58">
        <v>6.8150971334215926</v>
      </c>
      <c r="G221" s="34">
        <v>0.59131200000000006</v>
      </c>
      <c r="H221" s="34">
        <v>0.6419688456</v>
      </c>
      <c r="I221" s="34">
        <v>0.050656845599999979</v>
      </c>
      <c r="J221" s="34">
        <v>0.050656845599999979</v>
      </c>
      <c r="L221" s="34">
        <v>6.8150971334215926</v>
      </c>
      <c r="M221" s="34">
        <v>0.46999428480000005</v>
      </c>
      <c r="N221" s="34">
        <v>0.41835964080000004</v>
      </c>
      <c r="O221" s="34">
        <v>-0.051634644000000014</v>
      </c>
      <c r="P221" s="34">
        <v>0.051634644000000014</v>
      </c>
    </row>
    <row r="222">
      <c r="A222">
        <v>1203</v>
      </c>
      <c r="B222">
        <v>2206996.7149999999</v>
      </c>
      <c r="C222">
        <v>6750623.2230000002</v>
      </c>
      <c r="D222">
        <v>197.34200000000001</v>
      </c>
      <c r="E222">
        <v>797</v>
      </c>
      <c r="F222" s="58">
        <v>9.947648034290939</v>
      </c>
      <c r="G222" s="34">
        <v>0.63703200000000004</v>
      </c>
      <c r="H222" s="34">
        <v>0.70136887920000002</v>
      </c>
      <c r="I222" s="34">
        <v>0.064336879200000072</v>
      </c>
      <c r="J222" s="34">
        <v>0.064336879200000072</v>
      </c>
      <c r="L222" s="34">
        <v>9.947648034290939</v>
      </c>
      <c r="M222" s="34">
        <v>0.54864000000000002</v>
      </c>
      <c r="N222" s="34">
        <v>0.39091362000000002</v>
      </c>
      <c r="O222" s="34">
        <v>-0.15772638000000005</v>
      </c>
      <c r="P222" s="34">
        <v>0.15772638000000005</v>
      </c>
    </row>
    <row r="223">
      <c r="A223">
        <v>1204</v>
      </c>
      <c r="B223">
        <v>2206987.4399999999</v>
      </c>
      <c r="C223">
        <v>6750623.3859999999</v>
      </c>
      <c r="D223">
        <v>197.04499999999999</v>
      </c>
      <c r="E223">
        <v>797</v>
      </c>
      <c r="F223" s="58">
        <v>12.775104562886995</v>
      </c>
      <c r="G223" s="34">
        <v>0.661416</v>
      </c>
      <c r="H223" s="34">
        <v>0.73168428720000012</v>
      </c>
      <c r="I223" s="34">
        <v>0.070268287200000085</v>
      </c>
      <c r="J223" s="34">
        <v>0.070268287200000085</v>
      </c>
      <c r="L223" s="34">
        <v>12.775104562886995</v>
      </c>
      <c r="M223" s="34">
        <v>0.46999428480000005</v>
      </c>
      <c r="N223" s="34">
        <v>0.35819852160000004</v>
      </c>
      <c r="O223" s="34">
        <v>-0.11179576320000001</v>
      </c>
      <c r="P223" s="34">
        <v>0.11179576320000001</v>
      </c>
    </row>
    <row r="224">
      <c r="A224">
        <v>1205</v>
      </c>
      <c r="B224">
        <v>2206976.432</v>
      </c>
      <c r="C224">
        <v>6750624.2939999998</v>
      </c>
      <c r="D224">
        <v>196.934</v>
      </c>
      <c r="E224">
        <v>797</v>
      </c>
      <c r="F224" s="58">
        <v>16.141737886045266</v>
      </c>
      <c r="G224" s="34">
        <v>0.75285600000000008</v>
      </c>
      <c r="H224" s="34">
        <v>0.77156157599999997</v>
      </c>
      <c r="I224" s="34">
        <v>0.018705575999999911</v>
      </c>
      <c r="J224" s="34">
        <v>0.018705575999999911</v>
      </c>
      <c r="L224" s="34">
        <v>16.141737886045266</v>
      </c>
      <c r="M224" s="34">
        <v>0.64008000000000009</v>
      </c>
      <c r="N224" s="34">
        <v>0.45707228880000006</v>
      </c>
      <c r="O224" s="34">
        <v>-0.18300771120000003</v>
      </c>
      <c r="P224" s="34">
        <v>0.18300771120000003</v>
      </c>
    </row>
    <row r="225">
      <c r="A225">
        <v>1206</v>
      </c>
      <c r="B225">
        <v>2206967.4350000001</v>
      </c>
      <c r="C225">
        <v>6750625.6830000002</v>
      </c>
      <c r="D225">
        <v>196.75399999999999</v>
      </c>
      <c r="E225">
        <v>797</v>
      </c>
      <c r="F225" s="58">
        <v>18.916511768377148</v>
      </c>
      <c r="G225" s="34">
        <v>0.71018400000000004</v>
      </c>
      <c r="H225" s="34">
        <v>0.83159559360000002</v>
      </c>
      <c r="I225" s="34">
        <v>0.12141159359999998</v>
      </c>
      <c r="J225" s="34">
        <v>0.12141159359999998</v>
      </c>
      <c r="L225" s="34">
        <v>18.916511768377148</v>
      </c>
      <c r="M225" s="34">
        <v>0.64999209600000007</v>
      </c>
      <c r="N225" s="34">
        <v>0.50946344639999996</v>
      </c>
      <c r="O225" s="34">
        <v>-0.1405286496</v>
      </c>
      <c r="P225" s="34">
        <v>0.1405286496</v>
      </c>
    </row>
    <row r="226">
      <c r="A226">
        <v>1207</v>
      </c>
      <c r="B226">
        <v>2206957.4929999998</v>
      </c>
      <c r="C226">
        <v>6750625.2390000001</v>
      </c>
      <c r="D226">
        <v>196.81899999999999</v>
      </c>
      <c r="E226">
        <v>797</v>
      </c>
      <c r="F226" s="58">
        <v>21.949853742773282</v>
      </c>
      <c r="G226" s="34">
        <v>0.81991199999999997</v>
      </c>
      <c r="H226" s="34">
        <v>0.87497930160000004</v>
      </c>
      <c r="I226" s="34">
        <v>0.055067301600000042</v>
      </c>
      <c r="J226" s="34">
        <v>0.055067301600000042</v>
      </c>
      <c r="L226" s="34">
        <v>21.949853742773282</v>
      </c>
      <c r="M226" s="34">
        <v>0.64008000000000009</v>
      </c>
      <c r="N226" s="34">
        <v>0.45776662320000006</v>
      </c>
      <c r="O226" s="34">
        <v>-0.18231337680000001</v>
      </c>
      <c r="P226" s="34">
        <v>0.18231337680000001</v>
      </c>
    </row>
    <row r="227">
      <c r="A227">
        <v>1208</v>
      </c>
      <c r="B227">
        <v>2206947.7760000001</v>
      </c>
      <c r="C227">
        <v>6750626.4539999999</v>
      </c>
      <c r="D227">
        <v>196.828</v>
      </c>
      <c r="E227">
        <v>797</v>
      </c>
      <c r="F227" s="58">
        <v>24.934658442388155</v>
      </c>
      <c r="G227" s="34">
        <v>0.63093599999999994</v>
      </c>
      <c r="H227" s="34">
        <v>0.83825821680000001</v>
      </c>
      <c r="I227" s="34">
        <v>0.20732221680000007</v>
      </c>
      <c r="J227" s="34">
        <v>0.20732221680000007</v>
      </c>
      <c r="L227" s="34">
        <v>24.934658442388155</v>
      </c>
      <c r="M227" s="34">
        <v>0.60999258240000009</v>
      </c>
      <c r="N227" s="34">
        <v>0.35805038880000001</v>
      </c>
      <c r="O227" s="34">
        <v>-0.25194219360000009</v>
      </c>
      <c r="P227" s="34">
        <v>0.25194219360000009</v>
      </c>
    </row>
    <row r="228">
      <c r="A228">
        <v>1209</v>
      </c>
      <c r="B228">
        <v>2206937.287</v>
      </c>
      <c r="C228">
        <v>6750627.2410000004</v>
      </c>
      <c r="D228">
        <v>197.40700000000001</v>
      </c>
      <c r="E228">
        <v>797</v>
      </c>
      <c r="F228" s="58">
        <v>28.140692138748111</v>
      </c>
      <c r="G228" s="34">
        <v>0.521208</v>
      </c>
      <c r="H228" s="34">
        <v>0.76926277440000002</v>
      </c>
      <c r="I228" s="34">
        <v>0.24805477440000001</v>
      </c>
      <c r="J228" s="34">
        <v>0.24805477440000001</v>
      </c>
      <c r="L228" s="34">
        <v>28.140692138748111</v>
      </c>
      <c r="M228" s="34">
        <v>0.33528000000000002</v>
      </c>
      <c r="N228" s="34">
        <v>0.27898648799999998</v>
      </c>
      <c r="O228" s="34">
        <v>-0.056293512000000046</v>
      </c>
      <c r="P228" s="34">
        <v>0.056293512000000046</v>
      </c>
    </row>
    <row r="229">
      <c r="A229">
        <v>1210</v>
      </c>
      <c r="B229">
        <v>2206926.5460000001</v>
      </c>
      <c r="C229">
        <v>6750627.568</v>
      </c>
      <c r="D229">
        <v>197.75200000000001</v>
      </c>
      <c r="E229">
        <v>797</v>
      </c>
      <c r="F229" s="58">
        <v>31.416065762609815</v>
      </c>
      <c r="G229" s="34">
        <v>0.65532000000000001</v>
      </c>
      <c r="H229" s="34">
        <v>0.70430806560000003</v>
      </c>
      <c r="I229" s="34">
        <v>0.048988065600000082</v>
      </c>
      <c r="J229" s="34">
        <v>0.048988065600000082</v>
      </c>
      <c r="L229" s="34">
        <v>31.416065762609815</v>
      </c>
      <c r="M229" s="34">
        <v>0.24384000000000003</v>
      </c>
      <c r="N229" s="34">
        <v>0.21229411440000001</v>
      </c>
      <c r="O229" s="34">
        <v>-0.031545885600000018</v>
      </c>
      <c r="P229" s="34">
        <v>0.031545885600000018</v>
      </c>
    </row>
    <row r="230">
      <c r="A230">
        <v>1211</v>
      </c>
      <c r="B230">
        <v>2206913.1719999998</v>
      </c>
      <c r="C230">
        <v>6750628.4119999995</v>
      </c>
      <c r="D230">
        <v>198.42500000000001</v>
      </c>
      <c r="E230">
        <v>797</v>
      </c>
      <c r="F230" s="58">
        <v>35.500570139785545</v>
      </c>
      <c r="G230" s="34">
        <v>0.070104</v>
      </c>
      <c r="H230" s="34">
        <v>0.68080615680000001</v>
      </c>
      <c r="I230" s="34">
        <v>0.61070215680000006</v>
      </c>
      <c r="J230" s="34">
        <v>0.61070215680000006</v>
      </c>
      <c r="L230" s="34">
        <v>35.500570139785545</v>
      </c>
      <c r="M230" s="34">
        <v>0.1199985408</v>
      </c>
      <c r="N230" s="34">
        <v>0.12258111120000001</v>
      </c>
      <c r="O230" s="34">
        <v>0.0025825704000000025</v>
      </c>
      <c r="P230" s="34">
        <v>0.0025825704000000025</v>
      </c>
    </row>
    <row r="231">
      <c r="A231" s="1" t="s">
        <v>59</v>
      </c>
    </row>
    <row r="232">
      <c r="A232">
        <v>1212</v>
      </c>
      <c r="B232">
        <v>2207094.8539999998</v>
      </c>
      <c r="C232">
        <v>6749999.7369999997</v>
      </c>
      <c r="D232">
        <v>195.15799999999999</v>
      </c>
      <c r="E232">
        <v>797</v>
      </c>
      <c r="F232" s="58">
        <v>0.92492231725780627</v>
      </c>
      <c r="G232" s="34">
        <v>0.46939200000000003</v>
      </c>
      <c r="H232" s="34">
        <v>0.0890016</v>
      </c>
      <c r="I232" s="34">
        <v>-0.38039040000000002</v>
      </c>
      <c r="J232" s="34">
        <v>0.38039040000000002</v>
      </c>
      <c r="L232" s="34">
        <v>0.92492231725780627</v>
      </c>
      <c r="M232" s="34">
        <v>0.14999817600000001</v>
      </c>
      <c r="N232" s="34">
        <v>0</v>
      </c>
      <c r="O232" s="34">
        <v>-0.14999817600000001</v>
      </c>
      <c r="P232" s="34">
        <v>0.14999817600000001</v>
      </c>
    </row>
    <row r="233">
      <c r="A233">
        <v>1213</v>
      </c>
      <c r="B233">
        <v>2207086.3500000001</v>
      </c>
      <c r="C233">
        <v>6749997.5259999996</v>
      </c>
      <c r="D233">
        <v>194.613</v>
      </c>
      <c r="E233">
        <v>797</v>
      </c>
      <c r="F233" s="58">
        <v>3.6031161106172278</v>
      </c>
      <c r="G233" s="34">
        <v>1.1490960000000001</v>
      </c>
      <c r="H233" s="34">
        <v>0.2172084048</v>
      </c>
      <c r="I233" s="34">
        <v>-0.93188759520000009</v>
      </c>
      <c r="J233" s="34">
        <v>0.93188759520000009</v>
      </c>
      <c r="L233" s="34">
        <v>3.6031161106172278</v>
      </c>
      <c r="M233" s="34">
        <v>0.42671999999999999</v>
      </c>
      <c r="N233" s="34">
        <v>0.35335677360000006</v>
      </c>
      <c r="O233" s="34">
        <v>-0.073363226399999953</v>
      </c>
      <c r="P233" s="34">
        <v>0.073363226399999953</v>
      </c>
    </row>
    <row r="234">
      <c r="A234">
        <v>1214</v>
      </c>
      <c r="B234">
        <v>2207075.2140000002</v>
      </c>
      <c r="C234">
        <v>6749994.7549999999</v>
      </c>
      <c r="D234">
        <v>193.708</v>
      </c>
      <c r="E234">
        <v>797</v>
      </c>
      <c r="F234" s="58">
        <v>7.1008729033916165</v>
      </c>
      <c r="G234" s="34">
        <v>1.3594079999999999</v>
      </c>
      <c r="H234" s="34">
        <v>1.3641720239999999</v>
      </c>
      <c r="I234" s="34">
        <v>0.0047640239999999423</v>
      </c>
      <c r="J234" s="34">
        <v>0.0047640239999999423</v>
      </c>
      <c r="L234" s="34">
        <v>7.1008729033916165</v>
      </c>
      <c r="M234" s="34">
        <v>0.71999124479999999</v>
      </c>
      <c r="N234" s="34">
        <v>0.39664233600000004</v>
      </c>
      <c r="O234" s="34">
        <v>-0.32334890879999995</v>
      </c>
      <c r="P234" s="34">
        <v>0.32334890879999995</v>
      </c>
    </row>
    <row r="235">
      <c r="A235">
        <v>1215</v>
      </c>
      <c r="B235">
        <v>2207064.4029999999</v>
      </c>
      <c r="C235">
        <v>6749991.9060000004</v>
      </c>
      <c r="D235">
        <v>194.339</v>
      </c>
      <c r="E235">
        <v>797</v>
      </c>
      <c r="F235" s="58">
        <v>10.508565829302697</v>
      </c>
      <c r="G235" s="34">
        <v>1.2649200000000003</v>
      </c>
      <c r="H235" s="34">
        <v>1.5127123416000001</v>
      </c>
      <c r="I235" s="34">
        <v>0.24779234159999988</v>
      </c>
      <c r="J235" s="34">
        <v>0.24779234159999988</v>
      </c>
      <c r="L235" s="34">
        <v>10.508565829302697</v>
      </c>
      <c r="M235" s="34">
        <v>0.48768000000000006</v>
      </c>
      <c r="N235" s="34">
        <v>0.47274906719999998</v>
      </c>
      <c r="O235" s="34">
        <v>-0.01493093280000006</v>
      </c>
      <c r="P235" s="34">
        <v>0.01493093280000006</v>
      </c>
    </row>
    <row r="236">
      <c r="A236">
        <v>1216</v>
      </c>
      <c r="B236">
        <v>2207054.2039999999</v>
      </c>
      <c r="C236">
        <v>6749989.5760000004</v>
      </c>
      <c r="D236">
        <v>194.27199999999999</v>
      </c>
      <c r="E236">
        <v>797</v>
      </c>
      <c r="F236" s="58">
        <v>13.697311423798697</v>
      </c>
      <c r="G236" s="34">
        <v>0.98145600000000011</v>
      </c>
      <c r="H236" s="34">
        <v>1.4415564768000002</v>
      </c>
      <c r="I236" s="34">
        <v>0.46010047680000005</v>
      </c>
      <c r="J236" s="34">
        <v>0.46010047680000005</v>
      </c>
      <c r="L236" s="34">
        <v>13.697311423798697</v>
      </c>
      <c r="M236" s="34">
        <v>0.54999331200000012</v>
      </c>
      <c r="N236" s="34">
        <v>0.45521300880000004</v>
      </c>
      <c r="O236" s="34">
        <v>-0.094780303200000068</v>
      </c>
      <c r="P236" s="34">
        <v>0.094780303200000068</v>
      </c>
    </row>
    <row r="237">
      <c r="A237">
        <v>1217</v>
      </c>
      <c r="B237">
        <v>2207044.3900000001</v>
      </c>
      <c r="C237">
        <v>6749987.7740000002</v>
      </c>
      <c r="D237">
        <v>194.298</v>
      </c>
      <c r="E237">
        <v>797</v>
      </c>
      <c r="F237" s="58">
        <v>16.738625923734311</v>
      </c>
      <c r="G237" s="34">
        <v>1.0515600000000001</v>
      </c>
      <c r="H237" s="34">
        <v>1.3455749567999999</v>
      </c>
      <c r="I237" s="34">
        <v>0.29401495679999984</v>
      </c>
      <c r="J237" s="34">
        <v>0.29401495679999984</v>
      </c>
      <c r="L237" s="34">
        <v>16.738625923734311</v>
      </c>
      <c r="M237" s="34">
        <v>0.45720000000000005</v>
      </c>
      <c r="N237" s="34">
        <v>0.40964632320000005</v>
      </c>
      <c r="O237" s="34">
        <v>-0.047553676799999979</v>
      </c>
      <c r="P237" s="34">
        <v>0.047553676799999979</v>
      </c>
    </row>
    <row r="238">
      <c r="A238">
        <v>1218</v>
      </c>
      <c r="B238">
        <v>2207035.4029999999</v>
      </c>
      <c r="C238">
        <v>6749986.3370000003</v>
      </c>
      <c r="D238">
        <v>194.10599999999999</v>
      </c>
      <c r="E238">
        <v>797</v>
      </c>
      <c r="F238" s="58">
        <v>19.512659904630603</v>
      </c>
      <c r="G238" s="34">
        <v>1.2192000000000001</v>
      </c>
      <c r="H238" s="34">
        <v>1.3150937376000003</v>
      </c>
      <c r="I238" s="34">
        <v>0.095893737600000112</v>
      </c>
      <c r="J238" s="34">
        <v>0.095893737600000112</v>
      </c>
      <c r="L238" s="34">
        <v>19.512659904630603</v>
      </c>
      <c r="M238" s="34">
        <v>0.54999331200000012</v>
      </c>
      <c r="N238" s="34">
        <v>0.51786586800000001</v>
      </c>
      <c r="O238" s="34">
        <v>-0.032127444000000061</v>
      </c>
      <c r="P238" s="34">
        <v>0.032127444000000061</v>
      </c>
    </row>
  </sheetData>
  <mergeCells count="2">
    <mergeCell ref="F2:J2"/>
    <mergeCell ref="L2:P2"/>
  </mergeCells>
  <pageMargins left="0.69999999999999996" right="0.69999999999999996" top="0.75" bottom="0.75" header="0.29999999999999999" footer="0.29999999999999999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12" zoomScaleNormal="100" zoomScalePageLayoutView="55" workbookViewId="0">
      <selection activeCell="V137" sqref="V137"/>
    </sheetView>
  </sheetViews>
  <sheetFormatPr defaultRowHeight="21"/>
  <cols>
    <col customWidth="1" min="1" max="1" style="59" width="3.85546875"/>
  </cols>
  <sheetData>
    <row r="1" ht="15">
      <c r="A1" s="80" t="s">
        <v>130</v>
      </c>
    </row>
    <row r="2" ht="15">
      <c r="A2" s="80"/>
    </row>
    <row r="3" ht="15">
      <c r="A3" s="80"/>
    </row>
    <row r="4" ht="15">
      <c r="A4" s="80"/>
    </row>
    <row r="5" ht="15">
      <c r="A5" s="80"/>
    </row>
    <row r="6" ht="15">
      <c r="A6" s="80"/>
    </row>
    <row r="7" ht="15">
      <c r="A7" s="80"/>
    </row>
    <row r="8" ht="15">
      <c r="A8" s="80"/>
    </row>
    <row r="9" ht="15">
      <c r="A9" s="80"/>
    </row>
    <row r="10" ht="15">
      <c r="A10" s="80"/>
    </row>
    <row r="11" ht="15">
      <c r="A11" s="80"/>
    </row>
    <row r="12" ht="15">
      <c r="A12" s="80"/>
    </row>
    <row r="13" ht="15">
      <c r="A13" s="80"/>
    </row>
    <row r="14" ht="15">
      <c r="A14" s="80"/>
    </row>
    <row r="15" ht="15">
      <c r="A15" s="80"/>
    </row>
    <row r="16" ht="15">
      <c r="A16" s="80" t="s">
        <v>131</v>
      </c>
    </row>
    <row r="17" ht="15">
      <c r="A17" s="80"/>
    </row>
    <row r="18" ht="15">
      <c r="A18" s="80"/>
    </row>
    <row r="19" ht="15">
      <c r="A19" s="80"/>
    </row>
    <row r="20" ht="15">
      <c r="A20" s="80"/>
    </row>
    <row r="21" ht="15">
      <c r="A21" s="80"/>
    </row>
    <row r="22" ht="15">
      <c r="A22" s="80"/>
    </row>
    <row r="23" ht="15">
      <c r="A23" s="80"/>
    </row>
    <row r="24" ht="15">
      <c r="A24" s="80"/>
    </row>
    <row r="25" ht="15">
      <c r="A25" s="80"/>
    </row>
    <row r="26" ht="15">
      <c r="A26" s="80"/>
    </row>
    <row r="27" ht="15">
      <c r="A27" s="80"/>
    </row>
    <row r="28" ht="15">
      <c r="A28" s="80"/>
    </row>
    <row r="29" ht="15">
      <c r="A29" s="80"/>
    </row>
    <row r="30" ht="15">
      <c r="A30" s="80"/>
    </row>
    <row r="31" ht="15">
      <c r="A31" s="80" t="s">
        <v>130</v>
      </c>
    </row>
    <row r="32" ht="15">
      <c r="A32" s="80"/>
    </row>
    <row r="33" ht="15">
      <c r="A33" s="80"/>
    </row>
    <row r="34" ht="15">
      <c r="A34" s="80"/>
    </row>
    <row r="35" ht="15">
      <c r="A35" s="80"/>
    </row>
    <row r="36" ht="15">
      <c r="A36" s="80"/>
    </row>
    <row r="37" ht="15">
      <c r="A37" s="80"/>
    </row>
    <row r="38" ht="15">
      <c r="A38" s="80"/>
    </row>
    <row r="39" ht="15">
      <c r="A39" s="80"/>
    </row>
    <row r="40" ht="15">
      <c r="A40" s="80"/>
    </row>
    <row r="41" ht="15">
      <c r="A41" s="80"/>
    </row>
    <row r="42" ht="15">
      <c r="A42" s="80"/>
    </row>
    <row r="43" ht="15">
      <c r="A43" s="80"/>
    </row>
    <row r="44" ht="15">
      <c r="A44" s="80"/>
    </row>
    <row r="45" ht="15">
      <c r="A45" s="80"/>
    </row>
    <row r="46" ht="15">
      <c r="A46" s="80" t="s">
        <v>131</v>
      </c>
    </row>
    <row r="47" ht="15">
      <c r="A47" s="80"/>
    </row>
    <row r="48" ht="15">
      <c r="A48" s="80"/>
    </row>
    <row r="49" ht="15">
      <c r="A49" s="80"/>
    </row>
    <row r="50" ht="15">
      <c r="A50" s="80"/>
    </row>
    <row r="51" ht="15">
      <c r="A51" s="80"/>
    </row>
    <row r="52" ht="15">
      <c r="A52" s="80"/>
    </row>
    <row r="53" ht="15">
      <c r="A53" s="80"/>
    </row>
    <row r="54" ht="15">
      <c r="A54" s="80"/>
    </row>
    <row r="55" ht="15">
      <c r="A55" s="80"/>
    </row>
    <row r="56" ht="15">
      <c r="A56" s="80"/>
    </row>
    <row r="57" ht="15">
      <c r="A57" s="80"/>
    </row>
    <row r="58" ht="15">
      <c r="A58" s="80"/>
    </row>
    <row r="59" ht="15">
      <c r="A59" s="80"/>
    </row>
    <row r="60" ht="15">
      <c r="A60" s="80"/>
    </row>
    <row r="61" ht="15">
      <c r="A61" s="80" t="s">
        <v>130</v>
      </c>
    </row>
    <row r="62" ht="15">
      <c r="A62" s="80"/>
    </row>
    <row r="63" ht="15">
      <c r="A63" s="80"/>
    </row>
    <row r="64" ht="15">
      <c r="A64" s="80"/>
    </row>
    <row r="65" ht="15">
      <c r="A65" s="80"/>
    </row>
    <row r="66" ht="15">
      <c r="A66" s="80"/>
    </row>
    <row r="67" ht="15">
      <c r="A67" s="80"/>
    </row>
    <row r="68" ht="15">
      <c r="A68" s="80"/>
    </row>
    <row r="69" ht="15">
      <c r="A69" s="80"/>
    </row>
    <row r="70" ht="15">
      <c r="A70" s="80"/>
    </row>
    <row r="71" ht="15">
      <c r="A71" s="80"/>
    </row>
    <row r="72" ht="15">
      <c r="A72" s="80"/>
    </row>
    <row r="73" ht="15">
      <c r="A73" s="80"/>
    </row>
    <row r="74" ht="15">
      <c r="A74" s="80"/>
    </row>
    <row r="75" ht="15">
      <c r="A75" s="80"/>
    </row>
    <row r="76" ht="15">
      <c r="A76" s="80" t="s">
        <v>131</v>
      </c>
    </row>
    <row r="77" ht="15">
      <c r="A77" s="80"/>
    </row>
    <row r="78" ht="15">
      <c r="A78" s="80"/>
    </row>
    <row r="79" ht="15">
      <c r="A79" s="80"/>
    </row>
    <row r="80" ht="15">
      <c r="A80" s="80"/>
    </row>
    <row r="81" ht="15">
      <c r="A81" s="80"/>
    </row>
    <row r="82" ht="15">
      <c r="A82" s="80"/>
    </row>
    <row r="83" ht="15">
      <c r="A83" s="80"/>
    </row>
    <row r="84" ht="15">
      <c r="A84" s="80"/>
    </row>
    <row r="85" ht="15">
      <c r="A85" s="80"/>
    </row>
    <row r="86" ht="15">
      <c r="A86" s="80"/>
    </row>
    <row r="87" ht="15">
      <c r="A87" s="80"/>
    </row>
    <row r="88" ht="15">
      <c r="A88" s="80"/>
    </row>
    <row r="89" ht="15">
      <c r="A89" s="80"/>
    </row>
    <row r="90" ht="15">
      <c r="A90" s="80"/>
    </row>
    <row r="91" s="59" customFormat="1">
      <c r="B91" s="81" t="s">
        <v>132</v>
      </c>
      <c r="C91" s="81"/>
      <c r="D91" s="81"/>
      <c r="E91" s="81"/>
      <c r="F91" s="81"/>
      <c r="G91" s="81"/>
      <c r="H91" s="81" t="s">
        <v>132</v>
      </c>
      <c r="I91" s="81"/>
      <c r="J91" s="81"/>
      <c r="K91" s="81"/>
      <c r="L91" s="81"/>
      <c r="M91" s="81"/>
      <c r="N91" s="81" t="s">
        <v>132</v>
      </c>
      <c r="O91" s="81"/>
      <c r="P91" s="81"/>
      <c r="Q91" s="81"/>
      <c r="R91" s="81"/>
      <c r="S91" s="81"/>
    </row>
    <row r="92" ht="15">
      <c r="A92" s="80" t="s">
        <v>130</v>
      </c>
    </row>
    <row r="93" ht="15">
      <c r="A93" s="80"/>
    </row>
    <row r="94" ht="15">
      <c r="A94" s="80"/>
    </row>
    <row r="95" ht="15">
      <c r="A95" s="80"/>
    </row>
    <row r="96" ht="15">
      <c r="A96" s="80"/>
    </row>
    <row r="97" ht="15">
      <c r="A97" s="80"/>
    </row>
    <row r="98" ht="15">
      <c r="A98" s="80"/>
    </row>
    <row r="99" ht="15">
      <c r="A99" s="80"/>
    </row>
    <row r="100" ht="15">
      <c r="A100" s="80"/>
    </row>
    <row r="101" ht="15">
      <c r="A101" s="80"/>
    </row>
    <row r="102" ht="15">
      <c r="A102" s="80"/>
    </row>
    <row r="103" ht="15">
      <c r="A103" s="80"/>
    </row>
    <row r="104" ht="15">
      <c r="A104" s="80"/>
    </row>
    <row r="105" ht="15">
      <c r="A105" s="80"/>
    </row>
    <row r="106" ht="15">
      <c r="A106" s="80"/>
    </row>
    <row r="107" ht="15">
      <c r="A107" s="80" t="s">
        <v>131</v>
      </c>
    </row>
    <row r="108" ht="15">
      <c r="A108" s="80"/>
    </row>
    <row r="109" ht="15">
      <c r="A109" s="80"/>
    </row>
    <row r="110" ht="15">
      <c r="A110" s="80"/>
    </row>
    <row r="111" ht="15">
      <c r="A111" s="80"/>
    </row>
    <row r="112" ht="15">
      <c r="A112" s="80"/>
    </row>
    <row r="113" ht="15">
      <c r="A113" s="80"/>
    </row>
    <row r="114" ht="15">
      <c r="A114" s="80"/>
    </row>
    <row r="115" ht="15">
      <c r="A115" s="80"/>
    </row>
    <row r="116" ht="15">
      <c r="A116" s="80"/>
    </row>
    <row r="117" ht="15">
      <c r="A117" s="80"/>
    </row>
    <row r="118" ht="15">
      <c r="A118" s="80"/>
    </row>
    <row r="119" ht="15">
      <c r="A119" s="80"/>
    </row>
    <row r="120" ht="15">
      <c r="A120" s="80"/>
    </row>
    <row r="121" ht="15">
      <c r="A121" s="80"/>
    </row>
    <row r="122" ht="15">
      <c r="A122" s="80" t="s">
        <v>130</v>
      </c>
    </row>
    <row r="123" ht="15">
      <c r="A123" s="80"/>
    </row>
    <row r="124" ht="15">
      <c r="A124" s="80"/>
    </row>
    <row r="125" ht="15">
      <c r="A125" s="80"/>
    </row>
    <row r="126" ht="15">
      <c r="A126" s="80"/>
    </row>
    <row r="127" ht="15">
      <c r="A127" s="80"/>
    </row>
    <row r="128" ht="15">
      <c r="A128" s="80"/>
    </row>
    <row r="129" ht="15">
      <c r="A129" s="80"/>
    </row>
    <row r="130" ht="15">
      <c r="A130" s="80"/>
    </row>
    <row r="131" ht="15">
      <c r="A131" s="80"/>
    </row>
    <row r="132" ht="15">
      <c r="A132" s="80"/>
    </row>
    <row r="133" ht="15">
      <c r="A133" s="80"/>
    </row>
    <row r="134" ht="15">
      <c r="A134" s="80"/>
    </row>
    <row r="135" ht="15">
      <c r="A135" s="80"/>
    </row>
    <row r="136" ht="15">
      <c r="A136" s="80"/>
    </row>
    <row r="137" ht="15">
      <c r="A137" s="80" t="s">
        <v>131</v>
      </c>
    </row>
    <row r="138" ht="15">
      <c r="A138" s="80"/>
    </row>
    <row r="139" ht="15">
      <c r="A139" s="80"/>
    </row>
    <row r="140" ht="15">
      <c r="A140" s="80"/>
    </row>
    <row r="141" ht="15">
      <c r="A141" s="80"/>
    </row>
    <row r="142" ht="15">
      <c r="A142" s="80"/>
    </row>
    <row r="143" ht="15">
      <c r="A143" s="80"/>
    </row>
    <row r="144" ht="15">
      <c r="A144" s="80"/>
    </row>
    <row r="145" ht="15">
      <c r="A145" s="80"/>
    </row>
    <row r="146" ht="15">
      <c r="A146" s="80"/>
    </row>
    <row r="147" ht="15">
      <c r="A147" s="80"/>
    </row>
    <row r="148" ht="15">
      <c r="A148" s="80"/>
    </row>
    <row r="149" ht="15">
      <c r="A149" s="80"/>
    </row>
    <row r="150" ht="15">
      <c r="A150" s="80"/>
    </row>
    <row r="151" ht="15">
      <c r="A151" s="80"/>
    </row>
    <row r="152">
      <c r="B152" s="81" t="s">
        <v>132</v>
      </c>
      <c r="C152" s="81"/>
      <c r="D152" s="81"/>
      <c r="E152" s="81"/>
      <c r="F152" s="81"/>
      <c r="G152" s="81"/>
      <c r="H152" s="81" t="s">
        <v>132</v>
      </c>
      <c r="I152" s="81"/>
      <c r="J152" s="81"/>
      <c r="K152" s="81"/>
      <c r="L152" s="81"/>
      <c r="M152" s="81"/>
      <c r="N152" s="81" t="s">
        <v>132</v>
      </c>
      <c r="O152" s="81"/>
      <c r="P152" s="81"/>
      <c r="Q152" s="81"/>
      <c r="R152" s="81"/>
      <c r="S152" s="81"/>
    </row>
  </sheetData>
  <mergeCells count="16">
    <mergeCell ref="A76:A90"/>
    <mergeCell ref="A1:A15"/>
    <mergeCell ref="A16:A30"/>
    <mergeCell ref="A31:A45"/>
    <mergeCell ref="A46:A60"/>
    <mergeCell ref="A61:A75"/>
    <mergeCell ref="B91:G91"/>
    <mergeCell ref="H91:M91"/>
    <mergeCell ref="N91:S91"/>
    <mergeCell ref="A92:A106"/>
    <mergeCell ref="A107:A121"/>
    <mergeCell ref="A122:A136"/>
    <mergeCell ref="A137:A151"/>
    <mergeCell ref="B152:G152"/>
    <mergeCell ref="H152:M152"/>
    <mergeCell ref="N152:S152"/>
  </mergeCells>
  <pageMargins left="0.69999999999999996" right="0.69999999999999996" top="0.75" bottom="0.75" header="0.29999999999999999" footer="0.29999999999999999"/>
  <pageSetup scale="51" fitToHeight="2" orientation="portrait"/>
  <rowBreaks count="1" manualBreakCount="1">
    <brk id="91" man="1" max="18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30" zoomScaleNormal="130" workbookViewId="0">
      <selection activeCell="K6" sqref="K6"/>
    </sheetView>
  </sheetViews>
  <sheetFormatPr defaultRowHeight="15"/>
  <cols>
    <col customWidth="1" min="1" max="1" width="9.140625"/>
    <col customWidth="1" min="2" max="2" width="1"/>
  </cols>
  <sheetData/>
  <pageMargins left="0.69999999999999996" right="0.69999999999999996" top="0.75" bottom="0.75" header="0.29999999999999999" footer="0.29999999999999999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pageSetUpPr fitToPage="1"/>
  </sheetPr>
  <sheetViews>
    <sheetView workbookViewId="0">
      <selection activeCell="L11" sqref="L11:N14"/>
    </sheetView>
  </sheetViews>
  <sheetFormatPr defaultRowHeight="15"/>
  <cols>
    <col customWidth="1" min="1" max="1" width="21.140625"/>
    <col customWidth="1" min="2" max="2" width="12.7109375"/>
    <col bestFit="1" customWidth="1" min="3" max="3" width="10.5703125"/>
    <col customWidth="1" min="4" max="5" width="10.28515625"/>
    <col customWidth="1" min="6" max="6" style="62" width="0.7109375"/>
    <col customWidth="1" min="7" max="7" width="13.85546875"/>
    <col bestFit="1" customWidth="1" min="8" max="8" width="10.5703125"/>
    <col customWidth="1" min="9" max="10" width="10.28515625"/>
    <col customWidth="1" min="11" max="11" width="10.140625"/>
    <col bestFit="1" customWidth="1" min="12" max="12" width="13.7109375"/>
    <col bestFit="1" customWidth="1" min="13" max="13" width="10.5703125"/>
    <col bestFit="1" customWidth="1" min="14" max="14" width="13.5703125"/>
  </cols>
  <sheetData>
    <row r="1">
      <c r="A1" s="68"/>
      <c r="B1" s="82" t="s">
        <v>130</v>
      </c>
      <c r="C1" s="82"/>
      <c r="D1" s="82"/>
      <c r="E1" s="82"/>
      <c r="F1" s="70"/>
      <c r="G1" s="82" t="s">
        <v>131</v>
      </c>
      <c r="H1" s="82"/>
      <c r="I1" s="82"/>
      <c r="J1" s="82"/>
    </row>
    <row r="2" s="61" customFormat="1" ht="30" customHeight="1">
      <c r="A2" s="69"/>
      <c r="B2" s="69" t="s">
        <v>65</v>
      </c>
      <c r="C2" s="69" t="s">
        <v>61</v>
      </c>
      <c r="D2" s="69" t="s">
        <v>109</v>
      </c>
      <c r="E2" s="69" t="s">
        <v>110</v>
      </c>
      <c r="F2" s="67"/>
      <c r="G2" s="69" t="s">
        <v>65</v>
      </c>
      <c r="H2" s="69" t="s">
        <v>61</v>
      </c>
      <c r="I2" s="69" t="s">
        <v>109</v>
      </c>
      <c r="J2" s="69" t="s">
        <v>110</v>
      </c>
    </row>
    <row r="3" ht="15.75">
      <c r="A3" s="9" t="s">
        <v>70</v>
      </c>
      <c r="B3" s="63">
        <v>0.029289654910552763</v>
      </c>
      <c r="C3" s="63">
        <v>0.17599578566834168</v>
      </c>
      <c r="D3" s="64">
        <v>0.219896660585892</v>
      </c>
      <c r="E3" s="64">
        <v>0.3997159859258142</v>
      </c>
      <c r="F3" s="64"/>
      <c r="G3" s="63">
        <v>0.025428522030150745</v>
      </c>
      <c r="H3" s="63">
        <v>0.10224911321005027</v>
      </c>
      <c r="I3" s="64">
        <v>0.093149864247064423</v>
      </c>
      <c r="J3" s="64">
        <v>0.25508365440224695</v>
      </c>
      <c r="L3" s="61" t="s">
        <v>131</v>
      </c>
      <c r="M3" s="61"/>
      <c r="N3" s="61"/>
    </row>
    <row r="4">
      <c r="A4" s="9" t="s">
        <v>71</v>
      </c>
      <c r="B4" s="63">
        <v>0.017912060120674624</v>
      </c>
      <c r="C4" s="63">
        <v>0.01298990732339968</v>
      </c>
      <c r="D4" s="64">
        <v>0.062704396257133352</v>
      </c>
      <c r="E4" s="64">
        <v>0.058019531544056854</v>
      </c>
      <c r="F4" s="64"/>
      <c r="G4" s="63">
        <v>0.009926181549832722</v>
      </c>
      <c r="H4" s="63">
        <v>0.006999453965760908</v>
      </c>
      <c r="I4" s="64">
        <v>0.027307735753192137</v>
      </c>
      <c r="J4" s="64">
        <v>0.021468827295197671</v>
      </c>
      <c r="L4" s="11" t="s">
        <v>133</v>
      </c>
      <c r="M4" s="11" t="s">
        <v>84</v>
      </c>
      <c r="N4" s="11" t="s">
        <v>85</v>
      </c>
    </row>
    <row r="5">
      <c r="A5" s="9" t="s">
        <v>72</v>
      </c>
      <c r="B5" s="63">
        <v>0.014130223200000012</v>
      </c>
      <c r="C5" s="63">
        <v>0.11144737679999997</v>
      </c>
      <c r="D5" s="64">
        <v>0.023459488584474854</v>
      </c>
      <c r="E5" s="64">
        <v>0.18185676594976152</v>
      </c>
      <c r="F5" s="64"/>
      <c r="G5" s="63">
        <v>0.026863852799999997</v>
      </c>
      <c r="H5" s="63">
        <v>0.075413920800000034</v>
      </c>
      <c r="I5" s="64">
        <v>0.050486630840507793</v>
      </c>
      <c r="J5" s="64">
        <v>0.17232991953182161</v>
      </c>
      <c r="L5" s="14">
        <v>0.029999999999999999</v>
      </c>
      <c r="M5" s="9">
        <v>40</v>
      </c>
      <c r="N5" s="15">
        <v>0.20100502512562815</v>
      </c>
    </row>
    <row r="6">
      <c r="A6" s="9" t="s">
        <v>73</v>
      </c>
      <c r="B6" s="63">
        <v>0.25268070297425915</v>
      </c>
      <c r="C6" s="63">
        <v>0.18324519301152764</v>
      </c>
      <c r="D6" s="64">
        <v>0.88232906524401455</v>
      </c>
      <c r="E6" s="64">
        <v>0.8164071753954506</v>
      </c>
      <c r="F6" s="64"/>
      <c r="G6" s="63">
        <v>0.14002602240972092</v>
      </c>
      <c r="H6" s="63">
        <v>0.098739449096814466</v>
      </c>
      <c r="I6" s="64">
        <v>0.38522301847276402</v>
      </c>
      <c r="J6" s="64">
        <v>0.30285507844639797</v>
      </c>
      <c r="L6" s="14">
        <v>0.14999999999999999</v>
      </c>
      <c r="M6" s="9">
        <v>114</v>
      </c>
      <c r="N6" s="15">
        <v>0.77386934673366836</v>
      </c>
    </row>
    <row r="7" ht="15.75">
      <c r="A7" s="9" t="s">
        <v>77</v>
      </c>
      <c r="B7" s="63">
        <v>1.7527764792</v>
      </c>
      <c r="C7" s="63">
        <v>0.93104025120000011</v>
      </c>
      <c r="D7" s="64">
        <v>9.5223484488524974</v>
      </c>
      <c r="E7" s="64">
        <v>8.7088917701863355</v>
      </c>
      <c r="F7" s="64"/>
      <c r="G7" s="63">
        <v>1.0922474472000001</v>
      </c>
      <c r="H7" s="63">
        <v>0.75476740080000004</v>
      </c>
      <c r="I7" s="64">
        <v>2.8962075424951417</v>
      </c>
      <c r="J7" s="64">
        <v>2.1534670289243429</v>
      </c>
      <c r="L7" s="10" t="s">
        <v>83</v>
      </c>
      <c r="M7" s="10">
        <v>45</v>
      </c>
      <c r="N7" s="16">
        <v>1</v>
      </c>
    </row>
    <row r="8">
      <c r="A8" s="9" t="s">
        <v>78</v>
      </c>
      <c r="B8" s="63">
        <v>-0.93188759520000009</v>
      </c>
      <c r="C8" s="63">
        <v>0.0008473440000000015</v>
      </c>
      <c r="D8" s="64">
        <v>-0.81097453580901868</v>
      </c>
      <c r="E8" s="64">
        <v>0.0024821428571428611</v>
      </c>
      <c r="F8" s="64"/>
      <c r="G8" s="63">
        <v>-0.33733709519999999</v>
      </c>
      <c r="H8" s="63">
        <v>0.0001429511999999484</v>
      </c>
      <c r="I8" s="64">
        <v>-0.74252058597340254</v>
      </c>
      <c r="J8" s="64">
        <v>0.00021992759739642803</v>
      </c>
    </row>
    <row r="9">
      <c r="A9" s="60" t="s">
        <v>79</v>
      </c>
      <c r="B9" s="65">
        <v>0.82088888400000004</v>
      </c>
      <c r="C9" s="65">
        <v>0.93188759520000009</v>
      </c>
      <c r="D9" s="66">
        <v>8.7113739130434791</v>
      </c>
      <c r="E9" s="66">
        <v>8.7113739130434791</v>
      </c>
      <c r="F9" s="64"/>
      <c r="G9" s="65">
        <v>0.75491035200000001</v>
      </c>
      <c r="H9" s="65">
        <v>0.75491035200000001</v>
      </c>
      <c r="I9" s="66">
        <v>2.1536869565217391</v>
      </c>
      <c r="J9" s="66">
        <v>2.1536869565217391</v>
      </c>
    </row>
    <row r="10" ht="15.75">
      <c r="L10" t="s">
        <v>130</v>
      </c>
    </row>
    <row r="11">
      <c r="L11" s="11" t="s">
        <v>133</v>
      </c>
      <c r="M11" s="11" t="s">
        <v>84</v>
      </c>
      <c r="N11" s="11" t="s">
        <v>85</v>
      </c>
    </row>
    <row r="12">
      <c r="A12">
        <v>0.029999999999999999</v>
      </c>
      <c r="L12" s="14">
        <v>0.029999999999999999</v>
      </c>
      <c r="M12" s="9">
        <v>32</v>
      </c>
      <c r="N12" s="15">
        <v>0.16080402010050251</v>
      </c>
    </row>
    <row r="13">
      <c r="A13">
        <v>0.14999999999999999</v>
      </c>
      <c r="L13" s="14">
        <v>0.14999999999999999</v>
      </c>
      <c r="M13" s="9">
        <v>88</v>
      </c>
      <c r="N13" s="15">
        <v>0.60301507537688437</v>
      </c>
    </row>
    <row r="14" ht="15.75">
      <c r="L14" s="10" t="s">
        <v>83</v>
      </c>
      <c r="M14" s="10">
        <v>79</v>
      </c>
      <c r="N14" s="16">
        <v>1</v>
      </c>
    </row>
  </sheetData>
  <sortState ref="L12:L13">
    <sortCondition ref="L12"/>
  </sortState>
  <mergeCells count="2">
    <mergeCell ref="B1:E1"/>
    <mergeCell ref="G1:J1"/>
  </mergeCells>
  <pageMargins left="0.69999999999999996" right="0.69999999999999996" top="0.75" bottom="0.75" header="0.29999999999999999" footer="0.29999999999999999"/>
  <pageSetup scale="57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>
      <selection sqref="A1:E44"/>
    </sheetView>
  </sheetViews>
  <sheetFormatPr defaultRowHeight="15"/>
  <cols>
    <col bestFit="1" customWidth="1" min="1" max="1" width="23.28515625"/>
    <col bestFit="1" customWidth="1" min="2" max="2" width="22.140625"/>
    <col customWidth="1" min="3" max="3" width="15.85546875"/>
    <col bestFit="1" customWidth="1" min="4" max="4" width="22.140625"/>
    <col bestFit="1" customWidth="1" min="5" max="5" width="14.7109375"/>
    <col bestFit="1" customWidth="1" min="6" max="6" width="10.5703125"/>
    <col bestFit="1" customWidth="1" min="7" max="7" width="13.5703125"/>
    <col bestFit="1" customWidth="1" min="8" max="8" width="10.5703125"/>
    <col bestFit="1" customWidth="1" min="9" max="9" width="13.5703125"/>
    <col bestFit="1" customWidth="1" min="10" max="10" width="10.5703125"/>
    <col bestFit="1" customWidth="1" min="11" max="11" width="13.5703125"/>
    <col customWidth="1" min="12" max="12" width="13.5703125"/>
    <col customWidth="1" min="13" max="13" width="3.7109375"/>
  </cols>
  <sheetData>
    <row r="1"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</row>
    <row r="2" ht="15.75">
      <c r="B2" s="83" t="s">
        <v>99</v>
      </c>
      <c r="C2" s="83"/>
      <c r="D2" s="84" t="s">
        <v>104</v>
      </c>
      <c r="E2" s="84"/>
      <c r="H2" s="83" t="s">
        <v>99</v>
      </c>
      <c r="I2" s="83"/>
      <c r="J2" s="83" t="s">
        <v>104</v>
      </c>
      <c r="K2" s="83"/>
      <c r="L2" s="37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>
      <c r="A3" s="11"/>
      <c r="B3" s="11" t="s">
        <v>65</v>
      </c>
      <c r="C3" s="11" t="s">
        <v>61</v>
      </c>
      <c r="D3" s="11" t="s">
        <v>65</v>
      </c>
      <c r="E3" s="11" t="s">
        <v>61</v>
      </c>
      <c r="G3" s="11"/>
      <c r="H3" s="11" t="s">
        <v>84</v>
      </c>
      <c r="I3" s="11" t="s">
        <v>85</v>
      </c>
      <c r="J3" s="11" t="s">
        <v>84</v>
      </c>
      <c r="K3" s="11" t="s">
        <v>85</v>
      </c>
      <c r="L3" s="3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</row>
    <row r="4">
      <c r="A4" s="9"/>
      <c r="B4" s="9"/>
      <c r="C4" s="9"/>
      <c r="D4" s="9"/>
      <c r="E4" s="9"/>
      <c r="G4" s="14">
        <v>-3</v>
      </c>
      <c r="H4" s="9">
        <v>1</v>
      </c>
      <c r="I4" s="15">
        <v>0.0045871559633027525</v>
      </c>
      <c r="J4" s="9">
        <v>0</v>
      </c>
      <c r="K4" s="15">
        <v>0</v>
      </c>
      <c r="L4" s="39"/>
      <c r="M4" s="18"/>
      <c r="N4" s="18"/>
      <c r="O4" s="18"/>
      <c r="P4" s="18"/>
      <c r="Q4" s="18"/>
      <c r="R4" s="18"/>
      <c r="S4" s="18"/>
      <c r="T4" s="40"/>
      <c r="U4" s="18"/>
      <c r="V4" s="18"/>
      <c r="W4" s="18"/>
      <c r="X4" s="18"/>
    </row>
    <row r="5">
      <c r="A5" s="9" t="s">
        <v>70</v>
      </c>
      <c r="B5" s="12">
        <v>0.04068366513761465</v>
      </c>
      <c r="C5" s="12">
        <v>0.58934336238532081</v>
      </c>
      <c r="D5" s="12">
        <v>-0.0071743577981651842</v>
      </c>
      <c r="E5" s="12">
        <v>0.39963867889908261</v>
      </c>
      <c r="G5" s="14">
        <v>-2</v>
      </c>
      <c r="H5" s="9">
        <v>3</v>
      </c>
      <c r="I5" s="15">
        <v>0.01834862385321101</v>
      </c>
      <c r="J5" s="9">
        <v>1</v>
      </c>
      <c r="K5" s="15">
        <v>0.0045871559633027525</v>
      </c>
      <c r="L5" s="39"/>
      <c r="M5" s="18"/>
      <c r="N5" s="18"/>
      <c r="O5" s="18"/>
      <c r="P5" s="18"/>
      <c r="Q5" s="18"/>
      <c r="R5" s="18"/>
      <c r="S5" s="18"/>
      <c r="T5" s="40"/>
      <c r="U5" s="18"/>
      <c r="V5" s="18"/>
      <c r="W5" s="18"/>
      <c r="X5" s="18"/>
    </row>
    <row r="6">
      <c r="A6" s="9" t="s">
        <v>71</v>
      </c>
      <c r="B6" s="12">
        <v>0.057194672872315083</v>
      </c>
      <c r="C6" s="12">
        <v>0.040966807014449227</v>
      </c>
      <c r="D6" s="12">
        <v>0.038401902693076674</v>
      </c>
      <c r="E6" s="12">
        <v>0.027183590540566131</v>
      </c>
      <c r="G6" s="14">
        <v>-1.5</v>
      </c>
      <c r="H6" s="9">
        <v>5</v>
      </c>
      <c r="I6" s="15">
        <v>0.041284403669724773</v>
      </c>
      <c r="J6" s="9">
        <v>3</v>
      </c>
      <c r="K6" s="15">
        <v>0.01834862385321101</v>
      </c>
      <c r="L6" s="39"/>
      <c r="M6" s="18"/>
      <c r="N6" s="18"/>
      <c r="O6" s="18"/>
      <c r="P6" s="18"/>
      <c r="Q6" s="18"/>
      <c r="R6" s="18"/>
      <c r="S6" s="18"/>
      <c r="T6" s="40"/>
      <c r="U6" s="18"/>
      <c r="V6" s="18"/>
      <c r="W6" s="18"/>
      <c r="X6" s="18"/>
    </row>
    <row r="7">
      <c r="A7" s="9" t="s">
        <v>72</v>
      </c>
      <c r="B7" s="12">
        <v>0.01272249999999997</v>
      </c>
      <c r="C7" s="12">
        <v>0.36701800000000018</v>
      </c>
      <c r="D7" s="12">
        <v>0.044084999999999985</v>
      </c>
      <c r="E7" s="12">
        <v>0.27126100000000003</v>
      </c>
      <c r="G7" s="35">
        <v>-1</v>
      </c>
      <c r="H7" s="36">
        <v>14</v>
      </c>
      <c r="I7" s="15">
        <f>SUM(H4:H7)/218</f>
        <v>0.10550458715596331</v>
      </c>
      <c r="J7" s="9">
        <v>6</v>
      </c>
      <c r="K7" s="15">
        <f>SUM(J4:J7)/218</f>
        <v>0.045871559633027525</v>
      </c>
      <c r="L7" s="39"/>
      <c r="M7" s="18"/>
      <c r="N7" s="18"/>
      <c r="O7" s="18"/>
      <c r="P7" s="18"/>
      <c r="Q7" s="18"/>
      <c r="R7" s="18"/>
      <c r="S7" s="18"/>
      <c r="T7" s="40"/>
      <c r="U7" s="18"/>
      <c r="V7" s="18"/>
      <c r="W7" s="18"/>
      <c r="X7" s="18"/>
    </row>
    <row r="8">
      <c r="A8" s="9" t="s">
        <v>73</v>
      </c>
      <c r="B8" s="12">
        <v>0.84446922494766341</v>
      </c>
      <c r="C8" s="12">
        <v>0.60486765691107136</v>
      </c>
      <c r="D8" s="12">
        <v>0.56699729843957758</v>
      </c>
      <c r="E8" s="12">
        <v>0.40136090447329331</v>
      </c>
      <c r="G8" s="14">
        <v>-0.90000000000000002</v>
      </c>
      <c r="H8" s="9">
        <v>2</v>
      </c>
      <c r="I8" s="15">
        <v>0.11467889908256881</v>
      </c>
      <c r="J8" s="9">
        <v>5</v>
      </c>
      <c r="K8" s="15">
        <v>0.068807339449541288</v>
      </c>
      <c r="L8" s="39"/>
      <c r="M8" s="18"/>
      <c r="N8" s="18"/>
      <c r="O8" s="18"/>
      <c r="P8" s="18"/>
      <c r="Q8" s="18"/>
      <c r="R8" s="18"/>
      <c r="S8" s="18"/>
      <c r="T8" s="40"/>
      <c r="U8" s="18"/>
      <c r="V8" s="18"/>
      <c r="W8" s="18"/>
      <c r="X8" s="18"/>
    </row>
    <row r="9">
      <c r="A9" s="9" t="s">
        <v>74</v>
      </c>
      <c r="B9" s="12">
        <v>0.71312827188370742</v>
      </c>
      <c r="C9" s="12">
        <v>0.36586488237708947</v>
      </c>
      <c r="D9" s="12">
        <v>0.3214859364377794</v>
      </c>
      <c r="E9" s="12">
        <v>0.16109057563962006</v>
      </c>
      <c r="G9" s="14">
        <v>-0.80000000000000004</v>
      </c>
      <c r="H9" s="9">
        <v>2</v>
      </c>
      <c r="I9" s="15">
        <v>0.12385321100917432</v>
      </c>
      <c r="J9" s="9">
        <v>3</v>
      </c>
      <c r="K9" s="15">
        <v>0.082568807339449546</v>
      </c>
      <c r="L9" s="39"/>
      <c r="M9" s="18"/>
      <c r="N9" s="18"/>
      <c r="O9" s="18"/>
      <c r="P9" s="18"/>
      <c r="Q9" s="18"/>
      <c r="R9" s="18"/>
      <c r="S9" s="18"/>
      <c r="T9" s="40"/>
      <c r="U9" s="18"/>
      <c r="V9" s="18"/>
      <c r="W9" s="18"/>
      <c r="X9" s="18"/>
    </row>
    <row r="10">
      <c r="A10" s="9" t="s">
        <v>75</v>
      </c>
      <c r="B10" s="12">
        <v>1.864627449081711</v>
      </c>
      <c r="C10" s="12">
        <v>2.4554480011491329</v>
      </c>
      <c r="D10" s="12">
        <v>3.182967447787223</v>
      </c>
      <c r="E10" s="12">
        <v>6.0226995031153896</v>
      </c>
      <c r="G10" s="14">
        <v>-0.70000000000000007</v>
      </c>
      <c r="H10" s="9">
        <v>2</v>
      </c>
      <c r="I10" s="15">
        <v>0.13302752293577982</v>
      </c>
      <c r="J10" s="9">
        <v>3</v>
      </c>
      <c r="K10" s="15">
        <v>0.096330275229357804</v>
      </c>
      <c r="L10" s="39"/>
      <c r="M10" s="18"/>
      <c r="N10" s="18"/>
      <c r="O10" s="18"/>
      <c r="P10" s="18"/>
      <c r="Q10" s="18"/>
      <c r="R10" s="18"/>
      <c r="S10" s="18"/>
      <c r="T10" s="40"/>
      <c r="U10" s="18"/>
      <c r="V10" s="18"/>
      <c r="W10" s="18"/>
      <c r="X10" s="18"/>
    </row>
    <row r="11">
      <c r="A11" s="9" t="s">
        <v>76</v>
      </c>
      <c r="B11" s="12">
        <v>0.017057658075780014</v>
      </c>
      <c r="C11" s="12">
        <v>1.6182969111165049</v>
      </c>
      <c r="D11" s="12">
        <v>-0.2516191937429324</v>
      </c>
      <c r="E11" s="12">
        <v>2.132803144880723</v>
      </c>
      <c r="G11" s="14">
        <v>-0.60000000000000009</v>
      </c>
      <c r="H11" s="9">
        <v>3</v>
      </c>
      <c r="I11" s="15">
        <v>0.14678899082568808</v>
      </c>
      <c r="J11" s="9">
        <v>4</v>
      </c>
      <c r="K11" s="15">
        <v>0.11467889908256881</v>
      </c>
      <c r="L11" s="39"/>
      <c r="M11" s="18"/>
      <c r="N11" s="18"/>
      <c r="O11" s="18"/>
      <c r="P11" s="18"/>
      <c r="Q11" s="18"/>
      <c r="R11" s="18"/>
      <c r="S11" s="18"/>
      <c r="T11" s="40"/>
      <c r="U11" s="18"/>
      <c r="V11" s="18"/>
      <c r="W11" s="18"/>
      <c r="X11" s="18"/>
    </row>
    <row r="12">
      <c r="A12" s="9" t="s">
        <v>77</v>
      </c>
      <c r="B12" s="12">
        <v>5.7505790000000001</v>
      </c>
      <c r="C12" s="12">
        <v>3.0545940000000003</v>
      </c>
      <c r="D12" s="12">
        <v>4.7571999999999992</v>
      </c>
      <c r="E12" s="12">
        <v>2.4762710000000001</v>
      </c>
      <c r="G12" s="14">
        <v>-0.50000000000000011</v>
      </c>
      <c r="H12" s="9">
        <v>3</v>
      </c>
      <c r="I12" s="15">
        <v>0.16055045871559634</v>
      </c>
      <c r="J12" s="9">
        <v>5</v>
      </c>
      <c r="K12" s="15">
        <v>0.13761467889908258</v>
      </c>
      <c r="L12" s="39"/>
      <c r="M12" s="18"/>
      <c r="N12" s="18"/>
      <c r="O12" s="18"/>
      <c r="P12" s="18"/>
      <c r="Q12" s="18"/>
      <c r="R12" s="18"/>
      <c r="S12" s="18"/>
      <c r="T12" s="40"/>
      <c r="U12" s="18"/>
      <c r="V12" s="18"/>
      <c r="W12" s="18"/>
      <c r="X12" s="18"/>
    </row>
    <row r="13">
      <c r="A13" s="9" t="s">
        <v>78</v>
      </c>
      <c r="B13" s="12">
        <v>-3.0573740000000003</v>
      </c>
      <c r="C13" s="12">
        <v>0.0027800000000000047</v>
      </c>
      <c r="D13" s="12">
        <v>-2.2804599999999997</v>
      </c>
      <c r="E13" s="12">
        <v>0.00046899999999983066</v>
      </c>
      <c r="G13" s="14">
        <v>-0.40000000000000013</v>
      </c>
      <c r="H13" s="9">
        <v>9</v>
      </c>
      <c r="I13" s="15">
        <v>0.20183486238532111</v>
      </c>
      <c r="J13" s="9">
        <v>11</v>
      </c>
      <c r="K13" s="15">
        <v>0.18807339449541285</v>
      </c>
      <c r="L13" s="39"/>
      <c r="M13" s="18"/>
      <c r="N13" s="18"/>
      <c r="O13" s="18"/>
      <c r="P13" s="18"/>
      <c r="Q13" s="18"/>
      <c r="R13" s="18"/>
      <c r="S13" s="18"/>
      <c r="T13" s="40"/>
      <c r="U13" s="18"/>
      <c r="V13" s="18"/>
      <c r="W13" s="18"/>
      <c r="X13" s="18"/>
    </row>
    <row r="14">
      <c r="A14" s="9" t="s">
        <v>79</v>
      </c>
      <c r="B14" s="12">
        <v>2.6932049999999998</v>
      </c>
      <c r="C14" s="12">
        <v>3.0573740000000003</v>
      </c>
      <c r="D14" s="12">
        <v>2.4767399999999999</v>
      </c>
      <c r="E14" s="12">
        <v>2.4767399999999999</v>
      </c>
      <c r="G14" s="14">
        <v>-0.30000000000000016</v>
      </c>
      <c r="H14" s="9">
        <v>12</v>
      </c>
      <c r="I14" s="15">
        <v>0.25688073394495414</v>
      </c>
      <c r="J14" s="9">
        <v>9</v>
      </c>
      <c r="K14" s="15">
        <v>0.22935779816513763</v>
      </c>
      <c r="L14" s="39"/>
      <c r="M14" s="18"/>
      <c r="N14" s="18"/>
      <c r="O14" s="18"/>
      <c r="P14" s="18"/>
      <c r="Q14" s="18"/>
      <c r="R14" s="18"/>
      <c r="S14" s="18"/>
      <c r="T14" s="40"/>
      <c r="U14" s="18"/>
      <c r="V14" s="18"/>
      <c r="W14" s="18"/>
      <c r="X14" s="18"/>
    </row>
    <row r="15">
      <c r="A15" s="9" t="s">
        <v>80</v>
      </c>
      <c r="B15" s="12">
        <v>8.8690389999999937</v>
      </c>
      <c r="C15" s="12">
        <v>128.47685299999995</v>
      </c>
      <c r="D15" s="12">
        <v>-1.5640100000000101</v>
      </c>
      <c r="E15" s="12">
        <v>87.121232000000006</v>
      </c>
      <c r="G15" s="14">
        <v>-0.20000000000000015</v>
      </c>
      <c r="H15" s="9">
        <v>16</v>
      </c>
      <c r="I15" s="15">
        <v>0.33027522935779818</v>
      </c>
      <c r="J15" s="9">
        <v>14</v>
      </c>
      <c r="K15" s="15">
        <v>0.29357798165137616</v>
      </c>
      <c r="L15" s="39"/>
      <c r="M15" s="18"/>
      <c r="N15" s="18"/>
      <c r="O15" s="18"/>
      <c r="P15" s="18"/>
      <c r="Q15" s="18"/>
      <c r="R15" s="18"/>
      <c r="S15" s="18"/>
      <c r="T15" s="40"/>
      <c r="U15" s="18"/>
      <c r="V15" s="18"/>
      <c r="W15" s="18"/>
      <c r="X15" s="18"/>
    </row>
    <row r="16">
      <c r="A16" s="9" t="s">
        <v>81</v>
      </c>
      <c r="B16" s="9">
        <v>218</v>
      </c>
      <c r="C16" s="9">
        <v>218</v>
      </c>
      <c r="D16" s="9">
        <v>218</v>
      </c>
      <c r="E16" s="9">
        <v>218</v>
      </c>
      <c r="G16" s="14">
        <v>-0.10000000000000014</v>
      </c>
      <c r="H16" s="9">
        <v>17</v>
      </c>
      <c r="I16" s="15">
        <v>0.40825688073394495</v>
      </c>
      <c r="J16" s="9">
        <v>16</v>
      </c>
      <c r="K16" s="15">
        <v>0.3669724770642202</v>
      </c>
      <c r="L16" s="39"/>
      <c r="M16" s="18"/>
      <c r="N16" s="18"/>
      <c r="O16" s="18"/>
      <c r="P16" s="18"/>
      <c r="Q16" s="18"/>
      <c r="R16" s="18"/>
      <c r="S16" s="18"/>
      <c r="T16" s="40"/>
      <c r="U16" s="18"/>
      <c r="V16" s="18"/>
      <c r="W16" s="18"/>
      <c r="X16" s="18"/>
    </row>
    <row r="17" ht="15.75">
      <c r="A17" s="10" t="s">
        <v>82</v>
      </c>
      <c r="B17" s="13">
        <v>0.11272819800965682</v>
      </c>
      <c r="C17" s="13">
        <v>0.080743784360092302</v>
      </c>
      <c r="D17" s="13">
        <v>0.075688470155201276</v>
      </c>
      <c r="E17" s="13">
        <v>0.053577667694881877</v>
      </c>
      <c r="G17" s="14">
        <v>0</v>
      </c>
      <c r="H17" s="9">
        <v>17</v>
      </c>
      <c r="I17" s="15">
        <v>0.48623853211009177</v>
      </c>
      <c r="J17" s="9">
        <v>22</v>
      </c>
      <c r="K17" s="15">
        <v>0.46788990825688076</v>
      </c>
      <c r="L17" s="39"/>
      <c r="M17" s="18"/>
      <c r="N17" s="18"/>
      <c r="O17" s="18"/>
      <c r="P17" s="18"/>
      <c r="Q17" s="18"/>
      <c r="R17" s="18"/>
      <c r="S17" s="18"/>
      <c r="T17" s="40"/>
      <c r="U17" s="18"/>
      <c r="V17" s="18"/>
      <c r="W17" s="18"/>
      <c r="X17" s="18"/>
    </row>
    <row r="18">
      <c r="G18" s="14">
        <v>0.099999999999999867</v>
      </c>
      <c r="H18" s="9">
        <v>17</v>
      </c>
      <c r="I18" s="15">
        <v>0.56422018348623848</v>
      </c>
      <c r="J18" s="9">
        <v>20</v>
      </c>
      <c r="K18" s="15">
        <v>0.55963302752293576</v>
      </c>
      <c r="L18" s="39"/>
      <c r="M18" s="18"/>
      <c r="N18" s="18"/>
      <c r="O18" s="18"/>
      <c r="P18" s="18"/>
      <c r="Q18" s="18"/>
      <c r="R18" s="18"/>
      <c r="S18" s="18"/>
      <c r="T18" s="40"/>
      <c r="U18" s="18"/>
      <c r="V18" s="18"/>
      <c r="W18" s="18"/>
      <c r="X18" s="18"/>
    </row>
    <row r="19">
      <c r="G19" s="14">
        <v>0.19999999999999987</v>
      </c>
      <c r="H19" s="9">
        <v>17</v>
      </c>
      <c r="I19" s="15">
        <v>0.64220183486238536</v>
      </c>
      <c r="J19" s="9">
        <v>22</v>
      </c>
      <c r="K19" s="15">
        <v>0.66055045871559637</v>
      </c>
      <c r="L19" s="39"/>
      <c r="M19" s="18"/>
      <c r="N19" s="18"/>
      <c r="O19" s="18"/>
      <c r="P19" s="18"/>
      <c r="Q19" s="18"/>
      <c r="R19" s="18"/>
      <c r="S19" s="18"/>
      <c r="T19" s="40"/>
      <c r="U19" s="18"/>
      <c r="V19" s="18"/>
      <c r="W19" s="18"/>
      <c r="X19" s="18"/>
    </row>
    <row r="20">
      <c r="G20" s="14">
        <v>0.29999999999999988</v>
      </c>
      <c r="H20" s="9">
        <v>9</v>
      </c>
      <c r="I20" s="15">
        <v>0.6834862385321101</v>
      </c>
      <c r="J20" s="9">
        <v>22</v>
      </c>
      <c r="K20" s="15">
        <v>0.76146788990825687</v>
      </c>
      <c r="L20" s="39"/>
      <c r="M20" s="18"/>
      <c r="N20" s="18"/>
      <c r="O20" s="18"/>
      <c r="P20" s="18"/>
      <c r="Q20" s="18"/>
      <c r="R20" s="18"/>
      <c r="S20" s="18"/>
      <c r="T20" s="40"/>
      <c r="U20" s="18"/>
      <c r="V20" s="18"/>
      <c r="W20" s="18"/>
      <c r="X20" s="18"/>
    </row>
    <row r="21">
      <c r="G21" s="14">
        <v>0.39999999999999991</v>
      </c>
      <c r="H21" s="9">
        <v>11</v>
      </c>
      <c r="I21" s="15">
        <v>0.73394495412844041</v>
      </c>
      <c r="J21" s="9">
        <v>13</v>
      </c>
      <c r="K21" s="15">
        <v>0.82110091743119262</v>
      </c>
      <c r="L21" s="39"/>
      <c r="M21" s="18"/>
      <c r="N21" s="18"/>
      <c r="O21" s="18"/>
      <c r="P21" s="18"/>
      <c r="Q21" s="18"/>
      <c r="R21" s="18"/>
      <c r="S21" s="18"/>
      <c r="T21" s="40"/>
      <c r="U21" s="18"/>
      <c r="V21" s="18"/>
      <c r="W21" s="18"/>
      <c r="X21" s="18"/>
    </row>
    <row r="22">
      <c r="G22" s="14">
        <v>0.49999999999999989</v>
      </c>
      <c r="H22" s="9">
        <v>5</v>
      </c>
      <c r="I22" s="15">
        <v>0.75688073394495414</v>
      </c>
      <c r="J22" s="9">
        <v>11</v>
      </c>
      <c r="K22" s="15">
        <v>0.87155963302752293</v>
      </c>
      <c r="L22" s="39"/>
      <c r="M22" s="18"/>
      <c r="N22" s="18"/>
      <c r="O22" s="18"/>
      <c r="P22" s="18"/>
      <c r="Q22" s="18"/>
      <c r="R22" s="18"/>
      <c r="S22" s="18"/>
      <c r="T22" s="40"/>
      <c r="U22" s="18"/>
      <c r="V22" s="18"/>
      <c r="W22" s="18"/>
      <c r="X22" s="18"/>
    </row>
    <row r="23">
      <c r="G23" s="14">
        <v>0.59999999999999987</v>
      </c>
      <c r="H23" s="9">
        <v>9</v>
      </c>
      <c r="I23" s="15">
        <v>0.79816513761467889</v>
      </c>
      <c r="J23" s="9">
        <v>9</v>
      </c>
      <c r="K23" s="15">
        <v>0.91284403669724767</v>
      </c>
      <c r="L23" s="39"/>
      <c r="M23" s="18"/>
      <c r="N23" s="18"/>
      <c r="O23" s="18"/>
      <c r="P23" s="18"/>
      <c r="Q23" s="18"/>
      <c r="R23" s="18"/>
      <c r="S23" s="18"/>
      <c r="T23" s="40"/>
      <c r="U23" s="18"/>
      <c r="V23" s="18"/>
      <c r="W23" s="18"/>
      <c r="X23" s="18"/>
    </row>
    <row r="24" ht="15.75">
      <c r="B24" s="85" t="s">
        <v>105</v>
      </c>
      <c r="C24" s="85"/>
      <c r="D24" s="85" t="s">
        <v>106</v>
      </c>
      <c r="E24" s="85"/>
      <c r="G24" s="14">
        <v>0.69999999999999984</v>
      </c>
      <c r="H24" s="9">
        <v>7</v>
      </c>
      <c r="I24" s="15">
        <v>0.83027522935779818</v>
      </c>
      <c r="J24" s="9">
        <v>5</v>
      </c>
      <c r="K24" s="15">
        <v>0.93577981651376152</v>
      </c>
      <c r="L24" s="39"/>
      <c r="M24" s="18"/>
      <c r="N24" s="18"/>
      <c r="O24" s="18"/>
      <c r="P24" s="18"/>
      <c r="Q24" s="18"/>
      <c r="R24" s="18"/>
      <c r="S24" s="18"/>
      <c r="T24" s="40"/>
      <c r="U24" s="18"/>
      <c r="V24" s="18"/>
      <c r="W24" s="18"/>
      <c r="X24" s="18"/>
    </row>
    <row r="25" ht="15.75" customHeight="1">
      <c r="A25" s="19" t="s">
        <v>86</v>
      </c>
      <c r="B25" s="86"/>
      <c r="C25" s="86"/>
      <c r="D25" s="86"/>
      <c r="E25" s="86"/>
      <c r="G25" s="14">
        <v>0.80000000000000004</v>
      </c>
      <c r="H25" s="9">
        <v>8</v>
      </c>
      <c r="I25" s="15">
        <v>0.8669724770642202</v>
      </c>
      <c r="J25" s="9">
        <v>5</v>
      </c>
      <c r="K25" s="15">
        <v>0.95871559633027525</v>
      </c>
      <c r="L25" s="39"/>
      <c r="M25" s="18"/>
      <c r="N25" s="18"/>
      <c r="O25" s="18"/>
      <c r="P25" s="18"/>
      <c r="Q25" s="18"/>
      <c r="R25" s="18"/>
      <c r="S25" s="18"/>
      <c r="T25" s="40"/>
      <c r="U25" s="18"/>
      <c r="V25" s="18"/>
      <c r="W25" s="18"/>
      <c r="X25" s="18"/>
    </row>
    <row r="26" ht="16.5" thickTop="1" thickBot="1">
      <c r="A26" s="20"/>
      <c r="B26" s="21" t="s">
        <v>87</v>
      </c>
      <c r="C26" s="21" t="s">
        <v>88</v>
      </c>
      <c r="D26" s="21" t="s">
        <v>87</v>
      </c>
      <c r="E26" s="21" t="s">
        <v>88</v>
      </c>
      <c r="G26" s="14">
        <v>0.8999999999999998</v>
      </c>
      <c r="H26" s="9">
        <v>5</v>
      </c>
      <c r="I26" s="15">
        <v>0.88990825688073394</v>
      </c>
      <c r="J26" s="9">
        <v>1</v>
      </c>
      <c r="K26" s="15">
        <v>0.96330275229357798</v>
      </c>
      <c r="L26" s="39"/>
      <c r="M26" s="18"/>
      <c r="N26" s="18"/>
      <c r="O26" s="18"/>
      <c r="P26" s="18"/>
      <c r="Q26" s="18"/>
      <c r="R26" s="18"/>
      <c r="S26" s="18"/>
      <c r="T26" s="40"/>
      <c r="U26" s="18"/>
      <c r="V26" s="18"/>
      <c r="W26" s="18"/>
      <c r="X26" s="18"/>
    </row>
    <row r="27" ht="15.75">
      <c r="A27" s="22" t="s">
        <v>70</v>
      </c>
      <c r="B27" s="25">
        <f>B5</f>
        <v>0.04068366513761465</v>
      </c>
      <c r="C27" s="25">
        <f>C5</f>
        <v>0.58934336238532081</v>
      </c>
      <c r="D27" s="25">
        <f>D5</f>
        <v>-0.0071743577981651842</v>
      </c>
      <c r="E27" s="25">
        <f>E5</f>
        <v>0.39963867889908261</v>
      </c>
      <c r="G27" s="14">
        <v>0.99999999999999978</v>
      </c>
      <c r="H27" s="9">
        <v>6</v>
      </c>
      <c r="I27" s="15">
        <v>0.91743119266055051</v>
      </c>
      <c r="J27" s="9">
        <v>2</v>
      </c>
      <c r="K27" s="15">
        <v>0.97247706422018354</v>
      </c>
      <c r="L27" s="39"/>
      <c r="M27" s="18"/>
      <c r="N27" s="18"/>
      <c r="O27" s="18"/>
      <c r="P27" s="18"/>
      <c r="Q27" s="18"/>
      <c r="R27" s="18"/>
      <c r="S27" s="18"/>
      <c r="T27" s="40"/>
      <c r="U27" s="18"/>
      <c r="V27" s="18"/>
      <c r="W27" s="18"/>
      <c r="X27" s="18"/>
    </row>
    <row r="28" ht="15.75">
      <c r="A28" s="23" t="s">
        <v>71</v>
      </c>
      <c r="B28" s="26">
        <f t="shared" ref="B28:C30" si="0">B6</f>
        <v>0.057194672872315083</v>
      </c>
      <c r="C28" s="26">
        <f t="shared" si="0"/>
        <v>0.040966807014449227</v>
      </c>
      <c r="D28" s="26">
        <f t="shared" ref="D28:E30" si="1">D6</f>
        <v>0.038401902693076674</v>
      </c>
      <c r="E28" s="26">
        <f t="shared" si="1"/>
        <v>0.027183590540566131</v>
      </c>
      <c r="G28" s="14">
        <v>1.5</v>
      </c>
      <c r="H28" s="9">
        <v>8</v>
      </c>
      <c r="I28" s="15">
        <v>0.95412844036697253</v>
      </c>
      <c r="J28" s="9">
        <v>4</v>
      </c>
      <c r="K28" s="15">
        <v>0.99082568807339455</v>
      </c>
      <c r="L28" s="39"/>
      <c r="M28" s="18"/>
      <c r="N28" s="18"/>
      <c r="O28" s="18"/>
      <c r="P28" s="18"/>
      <c r="Q28" s="18"/>
      <c r="R28" s="18"/>
      <c r="S28" s="18"/>
      <c r="T28" s="40"/>
      <c r="U28" s="18"/>
      <c r="V28" s="18"/>
      <c r="W28" s="18"/>
      <c r="X28" s="18"/>
    </row>
    <row r="29" ht="15.75">
      <c r="A29" s="24" t="s">
        <v>72</v>
      </c>
      <c r="B29" s="27">
        <f t="shared" si="0"/>
        <v>0.01272249999999997</v>
      </c>
      <c r="C29" s="27">
        <f t="shared" si="0"/>
        <v>0.36701800000000018</v>
      </c>
      <c r="D29" s="27">
        <f t="shared" si="1"/>
        <v>0.044084999999999985</v>
      </c>
      <c r="E29" s="27">
        <f t="shared" si="1"/>
        <v>0.27126100000000003</v>
      </c>
      <c r="G29" s="14">
        <v>2</v>
      </c>
      <c r="H29" s="9">
        <v>3</v>
      </c>
      <c r="I29" s="15">
        <v>0.9678899082568807</v>
      </c>
      <c r="J29" s="9">
        <v>1</v>
      </c>
      <c r="K29" s="15">
        <v>0.99541284403669728</v>
      </c>
      <c r="L29" s="39"/>
      <c r="M29" s="18"/>
      <c r="N29" s="18"/>
      <c r="O29" s="18"/>
      <c r="P29" s="18"/>
      <c r="Q29" s="18"/>
      <c r="R29" s="18"/>
      <c r="S29" s="18"/>
      <c r="T29" s="40"/>
      <c r="U29" s="18"/>
      <c r="V29" s="18"/>
      <c r="W29" s="18"/>
      <c r="X29" s="18"/>
    </row>
    <row r="30" ht="15.75">
      <c r="A30" s="23" t="s">
        <v>73</v>
      </c>
      <c r="B30" s="26">
        <f t="shared" si="0"/>
        <v>0.84446922494766341</v>
      </c>
      <c r="C30" s="26">
        <f t="shared" si="0"/>
        <v>0.60486765691107136</v>
      </c>
      <c r="D30" s="26">
        <f t="shared" si="1"/>
        <v>0.56699729843957758</v>
      </c>
      <c r="E30" s="26">
        <f t="shared" si="1"/>
        <v>0.40136090447329331</v>
      </c>
      <c r="G30" s="14">
        <v>3</v>
      </c>
      <c r="H30" s="9">
        <v>7</v>
      </c>
      <c r="I30" s="15">
        <v>1</v>
      </c>
      <c r="J30" s="9">
        <v>1</v>
      </c>
      <c r="K30" s="15">
        <v>1</v>
      </c>
      <c r="L30" s="39"/>
      <c r="M30" s="18"/>
      <c r="N30" s="18"/>
      <c r="O30" s="18"/>
      <c r="P30" s="18"/>
      <c r="Q30" s="18"/>
      <c r="R30" s="18"/>
      <c r="S30" s="18"/>
      <c r="T30" s="40"/>
      <c r="U30" s="18"/>
      <c r="V30" s="18"/>
      <c r="W30" s="18"/>
      <c r="X30" s="18"/>
    </row>
    <row r="31" ht="15.75">
      <c r="A31" s="24" t="s">
        <v>78</v>
      </c>
      <c r="B31" s="27">
        <f t="shared" ref="B31:E32" si="2">B13</f>
        <v>-3.0573740000000003</v>
      </c>
      <c r="C31" s="27">
        <f t="shared" si="2"/>
        <v>0.0027800000000000047</v>
      </c>
      <c r="D31" s="27">
        <f t="shared" si="2"/>
        <v>-2.2804599999999997</v>
      </c>
      <c r="E31" s="27">
        <f t="shared" si="2"/>
        <v>0.00046899999999983066</v>
      </c>
      <c r="G31" s="14">
        <v>4</v>
      </c>
      <c r="H31" s="9">
        <v>0</v>
      </c>
      <c r="I31" s="15">
        <v>1</v>
      </c>
      <c r="J31" s="9">
        <v>0</v>
      </c>
      <c r="K31" s="15">
        <v>1</v>
      </c>
      <c r="L31" s="39"/>
      <c r="M31" s="18"/>
      <c r="N31" s="18"/>
      <c r="O31" s="18"/>
      <c r="P31" s="18"/>
      <c r="Q31" s="18"/>
      <c r="R31" s="18"/>
      <c r="S31" s="18"/>
      <c r="T31" s="40"/>
      <c r="U31" s="18"/>
      <c r="V31" s="18"/>
      <c r="W31" s="18"/>
      <c r="X31" s="18"/>
    </row>
    <row r="32" ht="15.75">
      <c r="A32" s="23" t="s">
        <v>79</v>
      </c>
      <c r="B32" s="26">
        <f t="shared" si="2"/>
        <v>2.6932049999999998</v>
      </c>
      <c r="C32" s="26">
        <f t="shared" si="2"/>
        <v>3.0573740000000003</v>
      </c>
      <c r="D32" s="26">
        <f t="shared" si="2"/>
        <v>2.4767399999999999</v>
      </c>
      <c r="E32" s="26">
        <f t="shared" si="2"/>
        <v>2.4767399999999999</v>
      </c>
      <c r="G32" s="10" t="s">
        <v>83</v>
      </c>
      <c r="H32" s="10">
        <v>0</v>
      </c>
      <c r="I32" s="16">
        <v>1</v>
      </c>
      <c r="J32" s="10">
        <v>0</v>
      </c>
      <c r="K32" s="16">
        <v>1</v>
      </c>
      <c r="L32" s="39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</row>
    <row r="33"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</row>
    <row r="35" ht="15.75"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</row>
    <row r="36" ht="30.75">
      <c r="A36" s="28" t="s">
        <v>89</v>
      </c>
      <c r="B36" s="28" t="s">
        <v>107</v>
      </c>
      <c r="C36" s="28" t="s">
        <v>108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ht="16.5" thickTop="1" thickBot="1">
      <c r="A37" s="29">
        <v>0.10000000000000001</v>
      </c>
      <c r="B37" s="30">
        <f>I18-I16</f>
        <v>0.15596330275229353</v>
      </c>
      <c r="C37" s="30">
        <f>K18-K16</f>
        <v>0.19266055045871555</v>
      </c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ht="15.75">
      <c r="A38" s="24">
        <v>0.29999999999999999</v>
      </c>
      <c r="B38" s="31">
        <f>I20-I14</f>
        <v>0.42660550458715596</v>
      </c>
      <c r="C38" s="31">
        <f>K20-K14</f>
        <v>0.53211009174311918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</row>
    <row r="39" ht="15.75">
      <c r="A39" s="23">
        <v>0.5</v>
      </c>
      <c r="B39" s="32">
        <f>I22-I12</f>
        <v>0.59633027522935778</v>
      </c>
      <c r="C39" s="32">
        <f>K22-K12</f>
        <v>0.73394495412844041</v>
      </c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0" ht="15.75">
      <c r="A40" s="24">
        <v>1</v>
      </c>
      <c r="B40" s="31">
        <f>I27-I7</f>
        <v>0.81192660550458717</v>
      </c>
      <c r="C40" s="31">
        <f>K27-K7</f>
        <v>0.92660550458715596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</row>
    <row r="42"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>
      <c r="A43" t="s">
        <v>111</v>
      </c>
      <c r="B43" s="6">
        <f>MEDIAN(All_XS_Trimmed!R8:R206)</f>
        <v>18.185676594976151</v>
      </c>
      <c r="C43" s="6">
        <f>MEDIAN(All_XS_Trimmed!AE8:AE206)</f>
        <v>17.232991953182161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</row>
    <row r="44">
      <c r="A44" t="s">
        <v>112</v>
      </c>
      <c r="B44" s="6">
        <f>AVERAGE(All_XS_Trimmed!R8:R206)</f>
        <v>39.971598592581422</v>
      </c>
      <c r="C44" s="6">
        <f>AVERAGE(All_XS_Trimmed!AE8:AE206)</f>
        <v>25.508365440224697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</row>
    <row r="47"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</row>
    <row r="48"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</row>
    <row r="50"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</row>
    <row r="52"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</row>
    <row r="53"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</row>
    <row r="65"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</row>
    <row r="66"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</row>
    <row r="68"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</row>
    <row r="78"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</row>
    <row r="79"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</row>
    <row r="81"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</row>
    <row r="82"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</row>
    <row r="83"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</row>
    <row r="84"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</row>
    <row r="85"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</row>
    <row r="87"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</row>
    <row r="88"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</row>
    <row r="89"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</row>
    <row r="90"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</row>
    <row r="92"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</row>
    <row r="94"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</row>
    <row r="98"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</row>
    <row r="99"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</row>
    <row r="100"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</row>
    <row r="102"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</row>
    <row r="103"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</row>
    <row r="104"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</row>
    <row r="105"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</row>
    <row r="106"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</row>
    <row r="107"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</row>
  </sheetData>
  <mergeCells count="6">
    <mergeCell ref="B2:C2"/>
    <mergeCell ref="D2:E2"/>
    <mergeCell ref="H2:I2"/>
    <mergeCell ref="J2:K2"/>
    <mergeCell ref="B24:C25"/>
    <mergeCell ref="D24:E25"/>
  </mergeCells>
  <pageMargins left="0.69999999999999996" right="0.69999999999999996" top="0.75" bottom="0.75" header="0.29999999999999999" footer="0.29999999999999999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Normal="100" workbookViewId="0">
      <selection activeCell="M133" sqref="M46:Y133"/>
    </sheetView>
  </sheetViews>
  <sheetFormatPr defaultRowHeight="15"/>
  <cols>
    <col bestFit="1" customWidth="1" min="2" max="3" width="12"/>
    <col customWidth="1" min="4" max="4" width="13.28515625"/>
    <col customWidth="1" min="5" max="5" width="11.28515625"/>
    <col customWidth="1" min="6" max="6" style="6" width="11.28515625"/>
    <col bestFit="1" customWidth="1" min="7" max="7" width="11.85546875"/>
    <col customWidth="1" min="8" max="10" width="11.85546875"/>
    <col customWidth="1" min="11" max="11" width="5.42578125"/>
  </cols>
  <sheetData>
    <row r="1" ht="18.75">
      <c r="A1" s="17" t="s">
        <v>36</v>
      </c>
    </row>
    <row r="3" s="4" customFormat="1" ht="30.75" customHeight="1">
      <c r="A3" s="3" t="s">
        <v>39</v>
      </c>
      <c r="B3" s="4" t="s">
        <v>40</v>
      </c>
      <c r="C3" s="4" t="s">
        <v>41</v>
      </c>
      <c r="D3" s="4" t="s">
        <v>60</v>
      </c>
      <c r="E3" s="4" t="s">
        <v>61</v>
      </c>
      <c r="F3" s="7"/>
    </row>
    <row r="4">
      <c r="A4" t="s">
        <v>42</v>
      </c>
      <c r="B4">
        <v>131.49600000000001</v>
      </c>
      <c r="C4">
        <v>131.78299999999999</v>
      </c>
      <c r="D4">
        <f>C4-B4</f>
        <v>0.28699999999997772</v>
      </c>
      <c r="E4">
        <f>ABS(D4)</f>
        <v>0.28699999999997772</v>
      </c>
    </row>
    <row r="5">
      <c r="A5" t="s">
        <v>43</v>
      </c>
      <c r="B5">
        <v>131.554</v>
      </c>
      <c r="C5">
        <v>131.78100000000001</v>
      </c>
      <c r="D5">
        <f t="shared" ref="D5:D15" si="0">C5-B5</f>
        <v>0.22700000000000387</v>
      </c>
      <c r="E5">
        <f t="shared" ref="E5:E15" si="1">ABS(D5)</f>
        <v>0.22700000000000387</v>
      </c>
    </row>
    <row r="6">
      <c r="A6" t="s">
        <v>45</v>
      </c>
      <c r="B6">
        <v>131.114</v>
      </c>
      <c r="C6">
        <v>131.87700000000001</v>
      </c>
      <c r="D6">
        <f t="shared" si="0"/>
        <v>0.76300000000000523</v>
      </c>
      <c r="E6">
        <f t="shared" si="1"/>
        <v>0.76300000000000523</v>
      </c>
    </row>
    <row r="7">
      <c r="A7" t="s">
        <v>47</v>
      </c>
      <c r="B7">
        <v>132.72499999999999</v>
      </c>
      <c r="C7">
        <v>132.66900000000001</v>
      </c>
      <c r="D7">
        <f t="shared" si="0"/>
        <v>-0.055999999999983174</v>
      </c>
      <c r="E7">
        <f t="shared" si="1"/>
        <v>0.055999999999983174</v>
      </c>
    </row>
    <row r="8">
      <c r="A8" t="s">
        <v>49</v>
      </c>
      <c r="B8">
        <v>150.505</v>
      </c>
      <c r="C8">
        <v>149.85400000000001</v>
      </c>
      <c r="D8">
        <f t="shared" si="0"/>
        <v>-0.65099999999998204</v>
      </c>
      <c r="E8">
        <f t="shared" si="1"/>
        <v>0.65099999999998204</v>
      </c>
    </row>
    <row r="9">
      <c r="A9" t="s">
        <v>50</v>
      </c>
      <c r="B9">
        <v>150.51599999999999</v>
      </c>
      <c r="C9">
        <v>149.87100000000001</v>
      </c>
      <c r="D9">
        <f t="shared" si="0"/>
        <v>-0.64499999999998181</v>
      </c>
      <c r="E9">
        <f t="shared" si="1"/>
        <v>0.64499999999998181</v>
      </c>
    </row>
    <row r="10">
      <c r="A10" t="s">
        <v>52</v>
      </c>
      <c r="B10">
        <v>152.095</v>
      </c>
      <c r="C10">
        <v>151.499</v>
      </c>
      <c r="D10">
        <f t="shared" si="0"/>
        <v>-0.59600000000000364</v>
      </c>
      <c r="E10">
        <f t="shared" si="1"/>
        <v>0.59600000000000364</v>
      </c>
    </row>
    <row r="11">
      <c r="A11" t="s">
        <v>54</v>
      </c>
      <c r="B11">
        <v>149.04900000000001</v>
      </c>
      <c r="C11">
        <v>148.50899999999999</v>
      </c>
      <c r="D11">
        <f t="shared" si="0"/>
        <v>-0.54000000000002046</v>
      </c>
      <c r="E11">
        <f t="shared" si="1"/>
        <v>0.54000000000002046</v>
      </c>
    </row>
    <row r="12">
      <c r="A12" t="s">
        <v>56</v>
      </c>
      <c r="B12">
        <v>196.70400000000001</v>
      </c>
      <c r="C12">
        <v>196.667</v>
      </c>
      <c r="D12">
        <f t="shared" si="0"/>
        <v>-0.037000000000006139</v>
      </c>
      <c r="E12">
        <f t="shared" si="1"/>
        <v>0.037000000000006139</v>
      </c>
    </row>
    <row r="13">
      <c r="A13" t="s">
        <v>57</v>
      </c>
      <c r="B13">
        <v>196.59299999999999</v>
      </c>
      <c r="C13">
        <v>196.458</v>
      </c>
      <c r="D13">
        <f t="shared" si="0"/>
        <v>-0.13499999999999091</v>
      </c>
      <c r="E13">
        <f t="shared" si="1"/>
        <v>0.13499999999999091</v>
      </c>
    </row>
    <row r="14">
      <c r="A14" t="s">
        <v>62</v>
      </c>
      <c r="B14">
        <v>198.191</v>
      </c>
      <c r="C14">
        <v>198.27099999999999</v>
      </c>
      <c r="D14">
        <f t="shared" si="0"/>
        <v>0.079999999999984084</v>
      </c>
      <c r="E14">
        <f t="shared" si="1"/>
        <v>0.079999999999984084</v>
      </c>
    </row>
    <row r="15">
      <c r="A15" t="s">
        <v>63</v>
      </c>
      <c r="B15">
        <v>195.989</v>
      </c>
      <c r="C15">
        <v>194.751</v>
      </c>
      <c r="D15">
        <f t="shared" si="0"/>
        <v>-1.2379999999999995</v>
      </c>
      <c r="E15">
        <f t="shared" si="1"/>
        <v>1.2379999999999995</v>
      </c>
    </row>
    <row r="16">
      <c r="C16" s="5" t="s">
        <v>64</v>
      </c>
      <c r="D16" s="1">
        <f>AVERAGE(D4:D15)</f>
        <v>-0.21174999999999974</v>
      </c>
      <c r="E16" s="1">
        <f>AVERAGE(E4:E15)</f>
        <v>0.43791666666666157</v>
      </c>
      <c r="F16" s="8"/>
    </row>
    <row r="18" s="4" customFormat="1" ht="32.25" customHeight="1">
      <c r="A18" s="4" t="s">
        <v>0</v>
      </c>
      <c r="B18" s="4" t="s">
        <v>1</v>
      </c>
      <c r="C18" s="4" t="s">
        <v>2</v>
      </c>
      <c r="D18" s="4" t="s">
        <v>3</v>
      </c>
      <c r="E18" s="4" t="s">
        <v>5</v>
      </c>
      <c r="F18" s="7" t="s">
        <v>69</v>
      </c>
      <c r="G18" s="4" t="s">
        <v>35</v>
      </c>
      <c r="H18" s="4" t="s">
        <v>37</v>
      </c>
      <c r="I18" s="4" t="s">
        <v>65</v>
      </c>
      <c r="J18" s="4" t="s">
        <v>61</v>
      </c>
    </row>
    <row r="19" s="4" customFormat="1" ht="16.5" customHeight="1">
      <c r="A19" s="33" t="s">
        <v>97</v>
      </c>
      <c r="F19" s="7"/>
    </row>
    <row r="20" s="4" customFormat="1" ht="16.5" customHeight="1">
      <c r="A20">
        <v>1000</v>
      </c>
      <c r="B20">
        <v>2204126.0989999999</v>
      </c>
      <c r="C20">
        <v>6720658.3700000001</v>
      </c>
      <c r="D20">
        <v>127.3</v>
      </c>
      <c r="E20">
        <v>795</v>
      </c>
      <c r="F20">
        <v>15.024239381893709</v>
      </c>
      <c r="G20">
        <v>0.71999999999999997</v>
      </c>
      <c r="H20">
        <v>1.2730900000000001</v>
      </c>
      <c r="I20">
        <f t="shared" ref="I20:I38" si="2">H20-G20</f>
        <v>0.55309000000000008</v>
      </c>
      <c r="J20">
        <f t="shared" ref="J20:J38" si="3">ABS(I20)</f>
        <v>0.55309000000000008</v>
      </c>
      <c r="K20"/>
    </row>
    <row r="21" s="4" customFormat="1" ht="16.5" customHeight="1">
      <c r="A21">
        <v>1001</v>
      </c>
      <c r="B21">
        <v>2204119.3300000001</v>
      </c>
      <c r="C21">
        <v>6720666.676</v>
      </c>
      <c r="D21">
        <v>127.28400000000001</v>
      </c>
      <c r="E21">
        <v>795</v>
      </c>
      <c r="F21">
        <v>25.739135414791335</v>
      </c>
      <c r="G21">
        <v>1.25</v>
      </c>
      <c r="H21">
        <v>1.797669</v>
      </c>
      <c r="I21">
        <f t="shared" si="2"/>
        <v>0.54766899999999996</v>
      </c>
      <c r="J21">
        <f t="shared" si="3"/>
        <v>0.54766899999999996</v>
      </c>
      <c r="K21"/>
    </row>
    <row r="22" s="4" customFormat="1" ht="16.5" customHeight="1">
      <c r="A22">
        <v>1002</v>
      </c>
      <c r="B22">
        <v>2204112.7119999998</v>
      </c>
      <c r="C22">
        <v>6720672.96</v>
      </c>
      <c r="D22">
        <v>126.76900000000001</v>
      </c>
      <c r="E22">
        <v>795</v>
      </c>
      <c r="F22">
        <v>34.865283561907745</v>
      </c>
      <c r="G22">
        <v>1.3500000000000001</v>
      </c>
      <c r="H22">
        <v>2.1074760000000001</v>
      </c>
      <c r="I22">
        <f t="shared" si="2"/>
        <v>0.75747600000000004</v>
      </c>
      <c r="J22">
        <f t="shared" si="3"/>
        <v>0.75747600000000004</v>
      </c>
      <c r="K22"/>
    </row>
    <row r="23" s="4" customFormat="1" ht="16.5" customHeight="1">
      <c r="A23">
        <v>1003</v>
      </c>
      <c r="B23">
        <v>2204105.5589999999</v>
      </c>
      <c r="C23">
        <v>6720680.3119999999</v>
      </c>
      <c r="D23">
        <v>126.88500000000001</v>
      </c>
      <c r="E23">
        <v>795</v>
      </c>
      <c r="F23">
        <v>45.122832635559959</v>
      </c>
      <c r="G23">
        <v>1.71</v>
      </c>
      <c r="H23">
        <v>2.2452429999999999</v>
      </c>
      <c r="I23">
        <f t="shared" si="2"/>
        <v>0.53524299999999991</v>
      </c>
      <c r="J23">
        <f t="shared" si="3"/>
        <v>0.53524299999999991</v>
      </c>
      <c r="K23"/>
    </row>
    <row r="24" s="4" customFormat="1" ht="16.5" customHeight="1">
      <c r="A24">
        <v>1004</v>
      </c>
      <c r="B24">
        <v>2204099.7820000001</v>
      </c>
      <c r="C24">
        <v>6720687.574</v>
      </c>
      <c r="D24">
        <v>126.786</v>
      </c>
      <c r="E24">
        <v>795</v>
      </c>
      <c r="F24">
        <v>54.402400136195233</v>
      </c>
      <c r="G24">
        <v>1.8</v>
      </c>
      <c r="H24">
        <v>2.309701</v>
      </c>
      <c r="I24">
        <f t="shared" si="2"/>
        <v>0.50970099999999996</v>
      </c>
      <c r="J24">
        <f t="shared" si="3"/>
        <v>0.50970099999999996</v>
      </c>
      <c r="K24"/>
    </row>
    <row r="25" s="4" customFormat="1" ht="16.5" customHeight="1">
      <c r="A25">
        <v>1005</v>
      </c>
      <c r="B25">
        <v>2204093.5690000001</v>
      </c>
      <c r="C25">
        <v>6720695.3130000001</v>
      </c>
      <c r="D25">
        <v>126.31399999999999</v>
      </c>
      <c r="E25">
        <v>795</v>
      </c>
      <c r="F25">
        <v>64.326788782393223</v>
      </c>
      <c r="G25">
        <v>2</v>
      </c>
      <c r="H25">
        <v>2.3128289999999998</v>
      </c>
      <c r="I25">
        <f t="shared" si="2"/>
        <v>0.3128289999999998</v>
      </c>
      <c r="J25">
        <f t="shared" si="3"/>
        <v>0.3128289999999998</v>
      </c>
      <c r="K25"/>
    </row>
    <row r="26" s="4" customFormat="1" ht="16.5" customHeight="1">
      <c r="A26">
        <v>1006</v>
      </c>
      <c r="B26">
        <v>2204087.3429999999</v>
      </c>
      <c r="C26">
        <v>6720702.3420000002</v>
      </c>
      <c r="D26">
        <v>126.256</v>
      </c>
      <c r="E26">
        <v>795</v>
      </c>
      <c r="F26">
        <v>73.716672541235098</v>
      </c>
      <c r="G26">
        <v>1.97</v>
      </c>
      <c r="H26">
        <v>2.3293469999999998</v>
      </c>
      <c r="I26">
        <f t="shared" si="2"/>
        <v>0.35934699999999986</v>
      </c>
      <c r="J26">
        <f t="shared" si="3"/>
        <v>0.35934699999999986</v>
      </c>
      <c r="K26"/>
    </row>
    <row r="27" s="4" customFormat="1" ht="16.5" customHeight="1">
      <c r="A27">
        <v>1007</v>
      </c>
      <c r="B27">
        <v>2204081.27</v>
      </c>
      <c r="C27">
        <v>6720708.8480000002</v>
      </c>
      <c r="D27">
        <v>126.21899999999999</v>
      </c>
      <c r="E27">
        <v>795</v>
      </c>
      <c r="F27">
        <v>82.616636866947829</v>
      </c>
      <c r="G27">
        <v>2.2000000000000002</v>
      </c>
      <c r="H27">
        <v>2.3448920000000002</v>
      </c>
      <c r="I27">
        <f t="shared" si="2"/>
        <v>0.14489200000000002</v>
      </c>
      <c r="J27">
        <f t="shared" si="3"/>
        <v>0.14489200000000002</v>
      </c>
      <c r="K27"/>
    </row>
    <row r="28" s="4" customFormat="1" ht="16.5" customHeight="1">
      <c r="A28">
        <v>1008</v>
      </c>
      <c r="B28">
        <v>2204075.449</v>
      </c>
      <c r="C28">
        <v>6720715.6050000004</v>
      </c>
      <c r="D28">
        <v>126.057</v>
      </c>
      <c r="E28">
        <v>795</v>
      </c>
      <c r="F28">
        <v>91.535218032294509</v>
      </c>
      <c r="G28">
        <v>2.1499999999999999</v>
      </c>
      <c r="H28">
        <v>2.3694959999999998</v>
      </c>
      <c r="I28">
        <f t="shared" si="2"/>
        <v>0.21949599999999991</v>
      </c>
      <c r="J28">
        <f t="shared" si="3"/>
        <v>0.21949599999999991</v>
      </c>
      <c r="K28"/>
    </row>
    <row r="29" s="4" customFormat="1" ht="16.5" customHeight="1">
      <c r="A29">
        <v>1009</v>
      </c>
      <c r="B29">
        <v>2204068.9380000001</v>
      </c>
      <c r="C29">
        <v>6720722.2529999996</v>
      </c>
      <c r="D29">
        <v>125.932</v>
      </c>
      <c r="E29">
        <v>795</v>
      </c>
      <c r="F29">
        <v>100.84054043334196</v>
      </c>
      <c r="G29">
        <v>2.3599999999999999</v>
      </c>
      <c r="H29">
        <v>2.417681</v>
      </c>
      <c r="I29">
        <f t="shared" si="2"/>
        <v>0.057681000000000093</v>
      </c>
      <c r="J29">
        <f t="shared" si="3"/>
        <v>0.057681000000000093</v>
      </c>
      <c r="K29"/>
    </row>
    <row r="30" s="4" customFormat="1" ht="16.5" customHeight="1">
      <c r="A30">
        <v>1010</v>
      </c>
      <c r="B30">
        <v>2204061.952</v>
      </c>
      <c r="C30">
        <v>6720728.8449999997</v>
      </c>
      <c r="D30">
        <v>125.73999999999999</v>
      </c>
      <c r="E30">
        <v>795</v>
      </c>
      <c r="F30">
        <v>110.44567760065122</v>
      </c>
      <c r="G30">
        <v>2.7400000000000002</v>
      </c>
      <c r="H30">
        <v>2.4717630000000002</v>
      </c>
      <c r="I30">
        <f t="shared" si="2"/>
        <v>-0.26823700000000006</v>
      </c>
      <c r="J30">
        <f t="shared" si="3"/>
        <v>0.26823700000000006</v>
      </c>
      <c r="K30"/>
    </row>
    <row r="31" s="4" customFormat="1" ht="16.5" customHeight="1">
      <c r="A31">
        <v>1011</v>
      </c>
      <c r="B31">
        <v>2204055.9339999999</v>
      </c>
      <c r="C31">
        <v>6720736.2829999998</v>
      </c>
      <c r="D31">
        <v>125.64100000000001</v>
      </c>
      <c r="E31">
        <v>795</v>
      </c>
      <c r="F31">
        <v>120.01334022028317</v>
      </c>
      <c r="G31">
        <v>2.6899999999999999</v>
      </c>
      <c r="H31">
        <v>2.522589</v>
      </c>
      <c r="I31">
        <f t="shared" si="2"/>
        <v>-0.16741099999999998</v>
      </c>
      <c r="J31">
        <f t="shared" si="3"/>
        <v>0.16741099999999998</v>
      </c>
      <c r="K31"/>
    </row>
    <row r="32" s="4" customFormat="1" ht="16.5" customHeight="1">
      <c r="A32">
        <v>1012</v>
      </c>
      <c r="B32">
        <v>2204049.2259999998</v>
      </c>
      <c r="C32">
        <v>6720742.79</v>
      </c>
      <c r="D32">
        <v>125.376</v>
      </c>
      <c r="E32">
        <v>795</v>
      </c>
      <c r="F32">
        <v>129.35883715753383</v>
      </c>
      <c r="G32">
        <v>2.6200000000000001</v>
      </c>
      <c r="H32">
        <v>2.6389779999999998</v>
      </c>
      <c r="I32">
        <f t="shared" si="2"/>
        <v>0.018977999999999717</v>
      </c>
      <c r="J32">
        <f t="shared" si="3"/>
        <v>0.018977999999999717</v>
      </c>
      <c r="K32"/>
    </row>
    <row r="33" s="4" customFormat="1" ht="16.5" customHeight="1">
      <c r="A33">
        <v>1013</v>
      </c>
      <c r="B33">
        <v>2204041.8870000001</v>
      </c>
      <c r="C33">
        <v>6720750.2460000003</v>
      </c>
      <c r="D33">
        <v>125.154</v>
      </c>
      <c r="E33">
        <v>795</v>
      </c>
      <c r="F33">
        <v>139.82080910353721</v>
      </c>
      <c r="G33">
        <v>2.9500000000000002</v>
      </c>
      <c r="H33">
        <v>2.6616689999999998</v>
      </c>
      <c r="I33">
        <f t="shared" si="2"/>
        <v>-0.28833100000000034</v>
      </c>
      <c r="J33">
        <f t="shared" si="3"/>
        <v>0.28833100000000034</v>
      </c>
      <c r="K33"/>
    </row>
    <row r="34" s="4" customFormat="1" ht="16.5" customHeight="1">
      <c r="A34">
        <v>1014</v>
      </c>
      <c r="B34">
        <v>2204034.375</v>
      </c>
      <c r="C34">
        <v>6720758.1550000003</v>
      </c>
      <c r="D34">
        <v>125.13</v>
      </c>
      <c r="E34">
        <v>795</v>
      </c>
      <c r="F34">
        <v>150.72871563968482</v>
      </c>
      <c r="G34">
        <v>2.9100000000000001</v>
      </c>
      <c r="H34">
        <v>2.5703930000000001</v>
      </c>
      <c r="I34">
        <f t="shared" si="2"/>
        <v>-0.33960699999999999</v>
      </c>
      <c r="J34">
        <f t="shared" si="3"/>
        <v>0.33960699999999999</v>
      </c>
      <c r="K34"/>
    </row>
    <row r="35" s="4" customFormat="1" ht="16.5" customHeight="1">
      <c r="A35">
        <v>1015</v>
      </c>
      <c r="B35">
        <v>2204026.858</v>
      </c>
      <c r="C35">
        <v>6720766.7659999998</v>
      </c>
      <c r="D35">
        <v>125.53100000000001</v>
      </c>
      <c r="E35">
        <v>795</v>
      </c>
      <c r="F35">
        <v>162.15914039086732</v>
      </c>
      <c r="G35">
        <v>2.5299999999999998</v>
      </c>
      <c r="H35">
        <v>2.2857750000000001</v>
      </c>
      <c r="I35">
        <f t="shared" si="2"/>
        <v>-0.24422499999999969</v>
      </c>
      <c r="J35">
        <f t="shared" si="3"/>
        <v>0.24422499999999969</v>
      </c>
      <c r="K35"/>
    </row>
    <row r="36" s="4" customFormat="1" ht="16.5" customHeight="1">
      <c r="A36">
        <v>1016</v>
      </c>
      <c r="B36">
        <v>2204021.014</v>
      </c>
      <c r="C36">
        <v>6720773.3260000004</v>
      </c>
      <c r="D36">
        <v>125.991</v>
      </c>
      <c r="E36">
        <v>795</v>
      </c>
      <c r="F36">
        <v>170.9446930773704</v>
      </c>
      <c r="G36">
        <v>1.98</v>
      </c>
      <c r="H36">
        <v>1.9373320000000001</v>
      </c>
      <c r="I36">
        <f t="shared" si="2"/>
        <v>-0.042667999999999928</v>
      </c>
      <c r="J36">
        <f t="shared" si="3"/>
        <v>0.042667999999999928</v>
      </c>
      <c r="K36"/>
    </row>
    <row r="37" s="4" customFormat="1" ht="16.5" customHeight="1">
      <c r="A37">
        <v>1017</v>
      </c>
      <c r="B37">
        <v>2204014.8640000001</v>
      </c>
      <c r="C37">
        <v>6720780.9560000002</v>
      </c>
      <c r="D37">
        <v>126.66</v>
      </c>
      <c r="E37">
        <v>795</v>
      </c>
      <c r="F37">
        <v>180.74466246493225</v>
      </c>
      <c r="G37">
        <v>1.1100000000000001</v>
      </c>
      <c r="H37">
        <v>1.463214</v>
      </c>
      <c r="I37">
        <f t="shared" si="2"/>
        <v>0.35321399999999992</v>
      </c>
      <c r="J37">
        <f t="shared" si="3"/>
        <v>0.35321399999999992</v>
      </c>
      <c r="K37"/>
    </row>
    <row r="38" s="4" customFormat="1" ht="16.5" customHeight="1">
      <c r="A38">
        <v>1018</v>
      </c>
      <c r="B38">
        <v>2204008.6639999999</v>
      </c>
      <c r="C38">
        <v>6720788.2889999999</v>
      </c>
      <c r="D38">
        <v>127.255</v>
      </c>
      <c r="E38">
        <v>795</v>
      </c>
      <c r="F38">
        <v>190.34741670509456</v>
      </c>
      <c r="G38">
        <v>0.46000000000000002</v>
      </c>
      <c r="H38">
        <v>0.89347100000000002</v>
      </c>
      <c r="I38">
        <f t="shared" si="2"/>
        <v>0.433471</v>
      </c>
      <c r="J38">
        <f t="shared" si="3"/>
        <v>0.433471</v>
      </c>
      <c r="K38"/>
    </row>
    <row r="39">
      <c r="A39" s="1" t="s">
        <v>38</v>
      </c>
    </row>
    <row r="40">
      <c r="A40">
        <v>1019</v>
      </c>
      <c r="B40">
        <v>2204483.8590000002</v>
      </c>
      <c r="C40">
        <v>6722002.5580000002</v>
      </c>
      <c r="D40">
        <v>130.73099999999999</v>
      </c>
      <c r="E40">
        <v>795</v>
      </c>
      <c r="F40" s="6">
        <v>5.8108010637132246</v>
      </c>
      <c r="G40">
        <v>0.84999999999999998</v>
      </c>
      <c r="H40">
        <v>0.79141499999999998</v>
      </c>
      <c r="I40">
        <f>H40-G40</f>
        <v>-0.058584999999999998</v>
      </c>
      <c r="J40">
        <f>ABS(I40)</f>
        <v>0.058584999999999998</v>
      </c>
    </row>
    <row r="41">
      <c r="A41">
        <v>1020</v>
      </c>
      <c r="B41">
        <v>2204488.6639999999</v>
      </c>
      <c r="C41">
        <v>6722001.3959999997</v>
      </c>
      <c r="D41">
        <v>130.41999999999999</v>
      </c>
      <c r="E41">
        <v>795</v>
      </c>
      <c r="F41" s="6">
        <v>10.754308826248261</v>
      </c>
      <c r="G41">
        <v>1.3799999999999999</v>
      </c>
      <c r="H41">
        <v>0.96745499999999995</v>
      </c>
      <c r="I41">
        <f t="shared" ref="I41:I48" si="4">H41-G41</f>
        <v>-0.41254499999999994</v>
      </c>
      <c r="J41">
        <f t="shared" ref="J41:J48" si="5">ABS(I41)</f>
        <v>0.41254499999999994</v>
      </c>
    </row>
    <row r="42">
      <c r="A42">
        <v>1021</v>
      </c>
      <c r="B42">
        <v>2204497.102</v>
      </c>
      <c r="C42">
        <v>6722000.2489999998</v>
      </c>
      <c r="D42">
        <v>130.19300000000001</v>
      </c>
      <c r="E42">
        <v>795</v>
      </c>
      <c r="F42" s="6">
        <v>19.269909392333403</v>
      </c>
      <c r="G42">
        <v>1.21</v>
      </c>
      <c r="H42">
        <v>1.19658</v>
      </c>
      <c r="I42">
        <f t="shared" si="4"/>
        <v>-0.013419999999999987</v>
      </c>
      <c r="J42">
        <f t="shared" si="5"/>
        <v>0.013419999999999987</v>
      </c>
    </row>
    <row r="43">
      <c r="A43">
        <v>1022</v>
      </c>
      <c r="B43">
        <v>2204502.7689999999</v>
      </c>
      <c r="C43">
        <v>6721999.7609999999</v>
      </c>
      <c r="D43">
        <v>130.09700000000001</v>
      </c>
      <c r="E43">
        <v>795</v>
      </c>
      <c r="F43" s="6">
        <v>24.957882053902566</v>
      </c>
      <c r="G43">
        <v>1.49</v>
      </c>
      <c r="H43">
        <v>1.321453</v>
      </c>
      <c r="I43">
        <f t="shared" si="4"/>
        <v>-0.168547</v>
      </c>
      <c r="J43">
        <f t="shared" si="5"/>
        <v>0.168547</v>
      </c>
    </row>
    <row r="44">
      <c r="A44">
        <v>1023</v>
      </c>
      <c r="B44">
        <v>2204509.5460000001</v>
      </c>
      <c r="C44">
        <v>6721998.6629999997</v>
      </c>
      <c r="D44">
        <v>130.256</v>
      </c>
      <c r="E44">
        <v>795</v>
      </c>
      <c r="F44" s="6">
        <v>31.823254076137651</v>
      </c>
      <c r="G44">
        <v>1.25</v>
      </c>
      <c r="H44">
        <v>1.385759</v>
      </c>
      <c r="I44">
        <f t="shared" si="4"/>
        <v>0.13575899999999996</v>
      </c>
      <c r="J44">
        <f t="shared" si="5"/>
        <v>0.13575899999999996</v>
      </c>
    </row>
    <row r="45">
      <c r="A45">
        <v>1024</v>
      </c>
      <c r="B45">
        <v>2204516.3020000001</v>
      </c>
      <c r="C45">
        <v>6721997.4380000001</v>
      </c>
      <c r="D45">
        <v>130.417</v>
      </c>
      <c r="E45">
        <v>795</v>
      </c>
      <c r="F45" s="6">
        <v>38.689414648087016</v>
      </c>
      <c r="G45">
        <v>1.1100000000000001</v>
      </c>
      <c r="H45">
        <v>1.334954</v>
      </c>
      <c r="I45">
        <f t="shared" si="4"/>
        <v>0.22495399999999988</v>
      </c>
      <c r="J45">
        <f t="shared" si="5"/>
        <v>0.22495399999999988</v>
      </c>
    </row>
    <row r="46">
      <c r="A46">
        <v>1025</v>
      </c>
      <c r="B46">
        <v>2204523.3769999999</v>
      </c>
      <c r="C46">
        <v>6721997.6320000002</v>
      </c>
      <c r="D46">
        <v>130.53299999999999</v>
      </c>
      <c r="E46">
        <v>795</v>
      </c>
      <c r="F46" s="6">
        <v>45.767073936022442</v>
      </c>
      <c r="G46">
        <v>0.62</v>
      </c>
      <c r="H46">
        <v>1.1993689999999999</v>
      </c>
      <c r="I46">
        <f t="shared" si="4"/>
        <v>0.57936899999999991</v>
      </c>
      <c r="J46">
        <f t="shared" si="5"/>
        <v>0.57936899999999991</v>
      </c>
    </row>
    <row r="47">
      <c r="A47">
        <v>1026</v>
      </c>
      <c r="B47">
        <v>2204529.9199999999</v>
      </c>
      <c r="C47">
        <v>6721997.1730000004</v>
      </c>
      <c r="D47">
        <v>130.72800000000001</v>
      </c>
      <c r="E47">
        <v>795</v>
      </c>
      <c r="F47" s="6">
        <v>52.326153902042378</v>
      </c>
      <c r="G47">
        <v>0.46000000000000002</v>
      </c>
      <c r="H47">
        <v>1.033128</v>
      </c>
      <c r="I47">
        <f t="shared" si="4"/>
        <v>0.57312800000000008</v>
      </c>
      <c r="J47">
        <f t="shared" si="5"/>
        <v>0.57312800000000008</v>
      </c>
    </row>
    <row r="48">
      <c r="A48">
        <v>1027</v>
      </c>
      <c r="B48">
        <v>2204536.5690000001</v>
      </c>
      <c r="C48">
        <v>6721996.8859999999</v>
      </c>
      <c r="D48">
        <v>130.85499999999999</v>
      </c>
      <c r="E48">
        <v>795</v>
      </c>
      <c r="F48" s="6">
        <v>58.98134510914138</v>
      </c>
      <c r="G48">
        <v>0.20000000000000001</v>
      </c>
      <c r="H48">
        <v>0.84806800000000004</v>
      </c>
      <c r="I48">
        <f t="shared" si="4"/>
        <v>0.64806800000000009</v>
      </c>
      <c r="J48">
        <f t="shared" si="5"/>
        <v>0.64806800000000009</v>
      </c>
    </row>
    <row r="49">
      <c r="A49" s="1" t="s">
        <v>44</v>
      </c>
    </row>
    <row r="50">
      <c r="A50">
        <v>1028</v>
      </c>
      <c r="B50">
        <v>2204853.0520000001</v>
      </c>
      <c r="C50">
        <v>6722396.1169999996</v>
      </c>
      <c r="D50">
        <v>130.029</v>
      </c>
      <c r="E50">
        <v>795</v>
      </c>
      <c r="F50" s="6">
        <v>12.147359631025024</v>
      </c>
      <c r="G50">
        <v>0.84999999999999998</v>
      </c>
      <c r="H50">
        <v>3.5254189999999999</v>
      </c>
      <c r="I50">
        <f>H50-G50</f>
        <v>2.6754189999999998</v>
      </c>
      <c r="J50">
        <f>ABS(I50)</f>
        <v>2.6754189999999998</v>
      </c>
    </row>
    <row r="51">
      <c r="A51">
        <v>1029</v>
      </c>
      <c r="B51">
        <v>2204858.0589999999</v>
      </c>
      <c r="C51">
        <v>6722397.4550000001</v>
      </c>
      <c r="D51">
        <v>129.70400000000001</v>
      </c>
      <c r="E51">
        <v>795</v>
      </c>
      <c r="F51" s="6">
        <v>17.330051306083146</v>
      </c>
      <c r="G51">
        <v>1.3300000000000001</v>
      </c>
      <c r="H51">
        <v>3.8162199999999999</v>
      </c>
      <c r="I51">
        <f>H51-G51</f>
        <v>2.4862199999999999</v>
      </c>
      <c r="J51">
        <f>ABS(I51)</f>
        <v>2.4862199999999999</v>
      </c>
    </row>
    <row r="52">
      <c r="A52">
        <v>1030</v>
      </c>
      <c r="B52">
        <v>2204864.6150000002</v>
      </c>
      <c r="C52">
        <v>6722398.324</v>
      </c>
      <c r="D52">
        <v>128.816</v>
      </c>
      <c r="E52">
        <v>795</v>
      </c>
      <c r="F52" s="6">
        <v>23.943393653509041</v>
      </c>
      <c r="G52">
        <v>2.2999999999999998</v>
      </c>
      <c r="H52">
        <v>4.1330730000000004</v>
      </c>
      <c r="I52">
        <f>H52-G52</f>
        <v>1.8330730000000006</v>
      </c>
      <c r="J52">
        <f>ABS(I52)</f>
        <v>1.8330730000000006</v>
      </c>
    </row>
    <row r="53">
      <c r="A53">
        <v>1032</v>
      </c>
      <c r="B53">
        <v>2204871.429</v>
      </c>
      <c r="C53">
        <v>6722399.2680000002</v>
      </c>
      <c r="D53">
        <v>128.46899999999999</v>
      </c>
      <c r="E53">
        <v>795</v>
      </c>
      <c r="F53" s="6">
        <v>30.822472952169427</v>
      </c>
      <c r="G53">
        <v>3.3399999999999999</v>
      </c>
      <c r="H53">
        <v>4.3266710000000002</v>
      </c>
      <c r="I53">
        <f>H53-G53</f>
        <v>0.9866710000000003</v>
      </c>
      <c r="J53">
        <f>ABS(I53)</f>
        <v>0.9866710000000003</v>
      </c>
    </row>
    <row r="54">
      <c r="A54" s="1" t="s">
        <v>46</v>
      </c>
    </row>
    <row r="55">
      <c r="A55">
        <v>1033</v>
      </c>
      <c r="B55">
        <v>2204799.8760000002</v>
      </c>
      <c r="C55">
        <v>6722572.1160000004</v>
      </c>
      <c r="D55">
        <v>132.16999999999999</v>
      </c>
      <c r="E55">
        <v>795</v>
      </c>
      <c r="F55" s="6">
        <v>7.6859998704795434</v>
      </c>
      <c r="G55">
        <v>1.05</v>
      </c>
      <c r="H55">
        <v>1.9285699999999999</v>
      </c>
      <c r="I55">
        <f t="shared" ref="I55:I69" si="6">H55-G55</f>
        <v>0.87856999999999985</v>
      </c>
      <c r="J55">
        <f t="shared" ref="J55:J69" si="7">ABS(I55)</f>
        <v>0.87856999999999985</v>
      </c>
    </row>
    <row r="56">
      <c r="A56">
        <v>1034</v>
      </c>
      <c r="B56">
        <v>2204806.7790000001</v>
      </c>
      <c r="C56">
        <v>6722573.102</v>
      </c>
      <c r="D56">
        <v>131.62299999999999</v>
      </c>
      <c r="E56">
        <v>795</v>
      </c>
      <c r="F56" s="6">
        <v>14.659062683779169</v>
      </c>
      <c r="G56">
        <v>1.8200000000000001</v>
      </c>
      <c r="H56">
        <v>2.4349120000000002</v>
      </c>
      <c r="I56">
        <f t="shared" si="6"/>
        <v>0.61491200000000013</v>
      </c>
      <c r="J56">
        <f t="shared" si="7"/>
        <v>0.61491200000000013</v>
      </c>
    </row>
    <row r="57">
      <c r="A57">
        <v>1035</v>
      </c>
      <c r="B57">
        <v>2204813.4980000001</v>
      </c>
      <c r="C57">
        <v>6722574.4519999996</v>
      </c>
      <c r="D57">
        <v>131.47</v>
      </c>
      <c r="E57">
        <v>795</v>
      </c>
      <c r="F57" s="6">
        <v>21.512343722781207</v>
      </c>
      <c r="G57">
        <v>2.3999999999999999</v>
      </c>
      <c r="H57">
        <v>2.8398919999999999</v>
      </c>
      <c r="I57">
        <f t="shared" si="6"/>
        <v>0.43989199999999995</v>
      </c>
      <c r="J57">
        <f t="shared" si="7"/>
        <v>0.43989199999999995</v>
      </c>
    </row>
    <row r="58">
      <c r="A58">
        <v>1036</v>
      </c>
      <c r="B58">
        <v>2204821.3679999998</v>
      </c>
      <c r="C58">
        <v>6722577.0559999999</v>
      </c>
      <c r="D58">
        <v>131.44399999999999</v>
      </c>
      <c r="E58">
        <v>795</v>
      </c>
      <c r="F58" s="6">
        <v>29.801958671372248</v>
      </c>
      <c r="G58">
        <v>1.8200000000000001</v>
      </c>
      <c r="H58">
        <v>3.1696580000000001</v>
      </c>
      <c r="I58">
        <f t="shared" si="6"/>
        <v>1.349658</v>
      </c>
      <c r="J58">
        <f t="shared" si="7"/>
        <v>1.349658</v>
      </c>
    </row>
    <row r="59">
      <c r="A59">
        <v>1037</v>
      </c>
      <c r="B59">
        <v>2204830.4019999998</v>
      </c>
      <c r="C59">
        <v>6722579.3729999997</v>
      </c>
      <c r="D59">
        <v>131.17400000000001</v>
      </c>
      <c r="E59">
        <v>795</v>
      </c>
      <c r="F59" s="6">
        <v>39.12835374121746</v>
      </c>
      <c r="G59">
        <v>2.79</v>
      </c>
      <c r="H59">
        <v>3.3797069999999998</v>
      </c>
      <c r="I59">
        <f t="shared" si="6"/>
        <v>0.58970699999999976</v>
      </c>
      <c r="J59">
        <f t="shared" si="7"/>
        <v>0.58970699999999976</v>
      </c>
    </row>
    <row r="60">
      <c r="A60">
        <v>1038</v>
      </c>
      <c r="B60">
        <v>2204838.1899999999</v>
      </c>
      <c r="C60">
        <v>6722581.1660000002</v>
      </c>
      <c r="D60">
        <v>131.02199999999999</v>
      </c>
      <c r="E60">
        <v>795</v>
      </c>
      <c r="F60" s="6">
        <v>47.120086532335051</v>
      </c>
      <c r="G60">
        <v>3.6600000000000001</v>
      </c>
      <c r="H60">
        <v>3.3934820000000001</v>
      </c>
      <c r="I60">
        <f t="shared" si="6"/>
        <v>-0.26651800000000003</v>
      </c>
      <c r="J60">
        <f t="shared" si="7"/>
        <v>0.26651800000000003</v>
      </c>
    </row>
    <row r="61">
      <c r="A61">
        <v>1039</v>
      </c>
      <c r="B61">
        <v>2204845.2429999998</v>
      </c>
      <c r="C61">
        <v>6722582.8969999999</v>
      </c>
      <c r="D61">
        <v>130.90700000000001</v>
      </c>
      <c r="E61">
        <v>795</v>
      </c>
      <c r="F61" s="6">
        <v>54.382398147560004</v>
      </c>
      <c r="G61">
        <v>4.1699999999999999</v>
      </c>
      <c r="H61">
        <v>3.375019</v>
      </c>
      <c r="I61">
        <f t="shared" si="6"/>
        <v>-0.79498099999999994</v>
      </c>
      <c r="J61">
        <f t="shared" si="7"/>
        <v>0.79498099999999994</v>
      </c>
    </row>
    <row r="62">
      <c r="A62">
        <v>1040</v>
      </c>
      <c r="B62">
        <v>2204852.4840000002</v>
      </c>
      <c r="C62">
        <v>6722584.3300000001</v>
      </c>
      <c r="D62">
        <v>130.55500000000001</v>
      </c>
      <c r="E62">
        <v>795</v>
      </c>
      <c r="F62" s="6">
        <v>61.763832290473289</v>
      </c>
      <c r="G62">
        <v>4.5300000000000002</v>
      </c>
      <c r="H62">
        <v>3.4114909999999998</v>
      </c>
      <c r="I62">
        <f t="shared" si="6"/>
        <v>-1.1185090000000004</v>
      </c>
      <c r="J62">
        <f t="shared" si="7"/>
        <v>1.1185090000000004</v>
      </c>
    </row>
    <row r="63">
      <c r="A63">
        <v>1041</v>
      </c>
      <c r="B63">
        <v>2204861.602</v>
      </c>
      <c r="C63">
        <v>6722586.0259999996</v>
      </c>
      <c r="D63">
        <v>130.37299999999999</v>
      </c>
      <c r="E63">
        <v>795</v>
      </c>
      <c r="F63" s="6">
        <v>71.038223914427263</v>
      </c>
      <c r="G63">
        <v>5.3099999999999996</v>
      </c>
      <c r="H63">
        <v>3.341647</v>
      </c>
      <c r="I63">
        <f t="shared" si="6"/>
        <v>-1.9683529999999996</v>
      </c>
      <c r="J63">
        <f t="shared" si="7"/>
        <v>1.9683529999999996</v>
      </c>
    </row>
    <row r="64">
      <c r="A64">
        <v>1042</v>
      </c>
      <c r="B64">
        <v>2204867.73</v>
      </c>
      <c r="C64">
        <v>6722587.6160000004</v>
      </c>
      <c r="D64">
        <v>130.16800000000001</v>
      </c>
      <c r="E64">
        <v>795</v>
      </c>
      <c r="F64" s="6">
        <v>77.369138856424769</v>
      </c>
      <c r="G64">
        <v>4.5300000000000002</v>
      </c>
      <c r="H64">
        <v>3.1840980000000001</v>
      </c>
      <c r="I64">
        <f t="shared" si="6"/>
        <v>-1.3459020000000002</v>
      </c>
      <c r="J64">
        <f t="shared" si="7"/>
        <v>1.3459020000000002</v>
      </c>
    </row>
    <row r="65">
      <c r="A65">
        <v>1043</v>
      </c>
      <c r="B65">
        <v>2204876.0800000001</v>
      </c>
      <c r="C65">
        <v>6722588.4340000004</v>
      </c>
      <c r="D65">
        <v>130.52000000000001</v>
      </c>
      <c r="E65">
        <v>795</v>
      </c>
      <c r="F65" s="6">
        <v>85.759110489362897</v>
      </c>
      <c r="G65">
        <v>4.3300000000000001</v>
      </c>
      <c r="H65">
        <v>2.9072049999999998</v>
      </c>
      <c r="I65">
        <f t="shared" si="6"/>
        <v>-1.4227950000000003</v>
      </c>
      <c r="J65">
        <f t="shared" si="7"/>
        <v>1.4227950000000003</v>
      </c>
    </row>
    <row r="66">
      <c r="A66">
        <v>1044</v>
      </c>
      <c r="B66">
        <v>2204881.4640000002</v>
      </c>
      <c r="C66">
        <v>6722590.2419999996</v>
      </c>
      <c r="D66">
        <v>130.78800000000001</v>
      </c>
      <c r="E66">
        <v>795</v>
      </c>
      <c r="F66" s="6">
        <v>91.438575252716504</v>
      </c>
      <c r="G66">
        <v>3.9900000000000002</v>
      </c>
      <c r="H66">
        <v>2.6957939999999998</v>
      </c>
      <c r="I66">
        <f t="shared" si="6"/>
        <v>-1.2942060000000004</v>
      </c>
      <c r="J66">
        <f t="shared" si="7"/>
        <v>1.2942060000000004</v>
      </c>
    </row>
    <row r="67">
      <c r="A67">
        <v>1045</v>
      </c>
      <c r="B67">
        <v>2204889.1400000001</v>
      </c>
      <c r="C67">
        <v>6722591.7539999997</v>
      </c>
      <c r="D67">
        <v>130.67599999999999</v>
      </c>
      <c r="E67">
        <v>795</v>
      </c>
      <c r="F67" s="6">
        <v>99.26207319161648</v>
      </c>
      <c r="G67">
        <v>4.46</v>
      </c>
      <c r="H67">
        <v>2.3731399999999998</v>
      </c>
      <c r="I67">
        <f t="shared" si="6"/>
        <v>-2.0868600000000002</v>
      </c>
      <c r="J67">
        <f t="shared" si="7"/>
        <v>2.0868600000000002</v>
      </c>
    </row>
    <row r="68">
      <c r="A68">
        <v>1046</v>
      </c>
      <c r="B68">
        <v>2204896.4879999999</v>
      </c>
      <c r="C68">
        <v>6722592.9199999999</v>
      </c>
      <c r="D68">
        <v>131.01300000000001</v>
      </c>
      <c r="E68">
        <v>795</v>
      </c>
      <c r="F68" s="6">
        <v>106.702010019105</v>
      </c>
      <c r="G68">
        <v>3.3399999999999999</v>
      </c>
      <c r="H68">
        <v>2.0267750000000002</v>
      </c>
      <c r="I68">
        <f t="shared" si="6"/>
        <v>-1.3132249999999996</v>
      </c>
      <c r="J68">
        <f t="shared" si="7"/>
        <v>1.3132249999999996</v>
      </c>
    </row>
    <row r="69">
      <c r="A69">
        <v>1047</v>
      </c>
      <c r="B69">
        <v>2204903.3250000002</v>
      </c>
      <c r="C69">
        <v>6722594.2690000003</v>
      </c>
      <c r="D69">
        <v>131.38</v>
      </c>
      <c r="E69">
        <v>795</v>
      </c>
      <c r="F69" s="6">
        <v>113.67082412231071</v>
      </c>
      <c r="G69">
        <v>0.84999999999999998</v>
      </c>
      <c r="H69">
        <v>1.6842159999999999</v>
      </c>
      <c r="I69">
        <f t="shared" si="6"/>
        <v>0.83421599999999996</v>
      </c>
      <c r="J69">
        <f t="shared" si="7"/>
        <v>0.83421599999999996</v>
      </c>
    </row>
    <row r="70">
      <c r="A70" s="1" t="s">
        <v>48</v>
      </c>
    </row>
    <row r="71">
      <c r="A71">
        <v>1048</v>
      </c>
      <c r="B71">
        <v>2208209.5819999999</v>
      </c>
      <c r="C71">
        <v>6731085.8789999997</v>
      </c>
      <c r="D71">
        <v>149.827</v>
      </c>
      <c r="E71">
        <v>795</v>
      </c>
      <c r="F71" s="6">
        <v>17.337320352605968</v>
      </c>
      <c r="G71">
        <v>0</v>
      </c>
      <c r="H71">
        <v>0.66914700000000005</v>
      </c>
      <c r="I71">
        <f t="shared" ref="I71:I84" si="8">H71-G71</f>
        <v>0.66914700000000005</v>
      </c>
      <c r="J71">
        <f t="shared" ref="J71:J83" si="9">ABS(I71)</f>
        <v>0.66914700000000005</v>
      </c>
    </row>
    <row r="72">
      <c r="A72">
        <v>1049</v>
      </c>
      <c r="B72">
        <v>2208197.8080000002</v>
      </c>
      <c r="C72">
        <v>6731089.5530000003</v>
      </c>
      <c r="D72">
        <v>149.54300000000001</v>
      </c>
      <c r="E72">
        <v>795</v>
      </c>
      <c r="F72" s="6">
        <v>29.671231005688281</v>
      </c>
      <c r="G72">
        <v>0.56000000000000005</v>
      </c>
      <c r="H72">
        <v>1.0346649999999999</v>
      </c>
      <c r="I72">
        <f t="shared" si="8"/>
        <v>0.47466499999999989</v>
      </c>
      <c r="J72">
        <f t="shared" si="9"/>
        <v>0.47466499999999989</v>
      </c>
    </row>
    <row r="73">
      <c r="A73">
        <v>1050</v>
      </c>
      <c r="B73">
        <v>2208186.3930000002</v>
      </c>
      <c r="C73">
        <v>6731094.8030000003</v>
      </c>
      <c r="D73">
        <v>149.47200000000001</v>
      </c>
      <c r="E73">
        <v>795</v>
      </c>
      <c r="F73" s="6">
        <v>42.2356539928712</v>
      </c>
      <c r="G73">
        <v>1.1100000000000001</v>
      </c>
      <c r="H73">
        <v>1.4383140000000001</v>
      </c>
      <c r="I73">
        <f t="shared" si="8"/>
        <v>0.32831399999999999</v>
      </c>
      <c r="J73">
        <f t="shared" si="9"/>
        <v>0.32831399999999999</v>
      </c>
    </row>
    <row r="74">
      <c r="A74">
        <v>1051</v>
      </c>
      <c r="B74">
        <v>2208176.2549999999</v>
      </c>
      <c r="C74">
        <v>6731097.7010000004</v>
      </c>
      <c r="D74">
        <v>149.167</v>
      </c>
      <c r="E74">
        <v>795</v>
      </c>
      <c r="F74" s="6">
        <v>52.779725692442362</v>
      </c>
      <c r="G74">
        <v>1.8700000000000001</v>
      </c>
      <c r="H74">
        <v>1.7900499999999999</v>
      </c>
      <c r="I74">
        <f t="shared" si="8"/>
        <v>-0.079950000000000188</v>
      </c>
      <c r="J74">
        <f t="shared" si="9"/>
        <v>0.079950000000000188</v>
      </c>
    </row>
    <row r="75">
      <c r="A75">
        <v>1052</v>
      </c>
      <c r="B75">
        <v>2208164.148</v>
      </c>
      <c r="C75">
        <v>6731104.1430000002</v>
      </c>
      <c r="D75">
        <v>148.71299999999999</v>
      </c>
      <c r="E75">
        <v>795</v>
      </c>
      <c r="F75" s="6">
        <v>66.49390860626248</v>
      </c>
      <c r="G75">
        <v>2.5299999999999998</v>
      </c>
      <c r="H75">
        <v>2.2791139999999999</v>
      </c>
      <c r="I75">
        <f t="shared" si="8"/>
        <v>-0.25088599999999994</v>
      </c>
      <c r="J75">
        <f t="shared" si="9"/>
        <v>0.25088599999999994</v>
      </c>
    </row>
    <row r="76">
      <c r="A76">
        <v>1053</v>
      </c>
      <c r="B76">
        <v>2208151.1719999998</v>
      </c>
      <c r="C76">
        <v>6731110.4019999998</v>
      </c>
      <c r="D76">
        <v>148.363</v>
      </c>
      <c r="E76">
        <v>795</v>
      </c>
      <c r="F76" s="6">
        <v>80.900561826279301</v>
      </c>
      <c r="G76">
        <v>3.1200000000000001</v>
      </c>
      <c r="H76">
        <v>2.9620519999999999</v>
      </c>
      <c r="I76">
        <f t="shared" si="8"/>
        <v>-0.1579480000000002</v>
      </c>
      <c r="J76">
        <f t="shared" si="9"/>
        <v>0.1579480000000002</v>
      </c>
    </row>
    <row r="77">
      <c r="A77">
        <v>1054</v>
      </c>
      <c r="B77">
        <v>2208140.6340000001</v>
      </c>
      <c r="C77">
        <v>6731114.5039999997</v>
      </c>
      <c r="D77">
        <v>148.072</v>
      </c>
      <c r="E77">
        <v>795</v>
      </c>
      <c r="F77" s="6">
        <v>92.208782198800748</v>
      </c>
      <c r="G77">
        <v>3.1200000000000001</v>
      </c>
      <c r="H77">
        <v>3.3187229999999999</v>
      </c>
      <c r="I77">
        <f t="shared" si="8"/>
        <v>0.19872299999999976</v>
      </c>
      <c r="J77">
        <f t="shared" si="9"/>
        <v>0.19872299999999976</v>
      </c>
    </row>
    <row r="78">
      <c r="A78">
        <v>1055</v>
      </c>
      <c r="B78">
        <v>2208129.6349999998</v>
      </c>
      <c r="C78">
        <v>6731119.8370000003</v>
      </c>
      <c r="D78">
        <v>148.197</v>
      </c>
      <c r="E78">
        <v>795</v>
      </c>
      <c r="F78" s="6">
        <v>104.4324841753984</v>
      </c>
      <c r="G78">
        <v>3.6400000000000001</v>
      </c>
      <c r="H78">
        <v>3.4102359999999998</v>
      </c>
      <c r="I78">
        <f t="shared" si="8"/>
        <v>-0.2297640000000003</v>
      </c>
      <c r="J78">
        <f t="shared" si="9"/>
        <v>0.2297640000000003</v>
      </c>
    </row>
    <row r="79">
      <c r="A79">
        <v>1056</v>
      </c>
      <c r="B79">
        <v>2208118.7769999998</v>
      </c>
      <c r="C79">
        <v>6731125.0800000001</v>
      </c>
      <c r="D79">
        <v>148.029</v>
      </c>
      <c r="E79">
        <v>795</v>
      </c>
      <c r="F79" s="6">
        <v>116.49006324409606</v>
      </c>
      <c r="G79">
        <v>2.5800000000000001</v>
      </c>
      <c r="H79">
        <v>3.3575979999999999</v>
      </c>
      <c r="I79">
        <f t="shared" si="8"/>
        <v>0.77759799999999979</v>
      </c>
      <c r="J79">
        <f t="shared" si="9"/>
        <v>0.77759799999999979</v>
      </c>
    </row>
    <row r="80">
      <c r="A80">
        <v>1057</v>
      </c>
      <c r="B80">
        <v>2208106.466</v>
      </c>
      <c r="C80">
        <v>6731129.6119999997</v>
      </c>
      <c r="D80">
        <v>147.98099999999999</v>
      </c>
      <c r="E80">
        <v>795</v>
      </c>
      <c r="F80" s="6">
        <v>129.60874248367043</v>
      </c>
      <c r="G80">
        <v>3.77</v>
      </c>
      <c r="H80">
        <v>3.44719</v>
      </c>
      <c r="I80">
        <f t="shared" si="8"/>
        <v>-0.32281000000000004</v>
      </c>
      <c r="J80">
        <f t="shared" si="9"/>
        <v>0.32281000000000004</v>
      </c>
    </row>
    <row r="81">
      <c r="A81">
        <v>1058</v>
      </c>
      <c r="B81">
        <v>2208092.9419999998</v>
      </c>
      <c r="C81">
        <v>6731136.6799999997</v>
      </c>
      <c r="D81">
        <v>147.83699999999999</v>
      </c>
      <c r="E81">
        <v>795</v>
      </c>
      <c r="F81" s="6">
        <v>144.86833618747596</v>
      </c>
      <c r="G81">
        <v>2.4199999999999999</v>
      </c>
      <c r="H81">
        <v>3.4021590000000002</v>
      </c>
      <c r="I81">
        <f t="shared" si="8"/>
        <v>0.98215900000000023</v>
      </c>
      <c r="J81">
        <f t="shared" si="9"/>
        <v>0.98215900000000023</v>
      </c>
    </row>
    <row r="82">
      <c r="A82">
        <v>1059</v>
      </c>
      <c r="B82">
        <v>2208081.4219999998</v>
      </c>
      <c r="C82">
        <v>6731138.9440000001</v>
      </c>
      <c r="D82">
        <v>148.071</v>
      </c>
      <c r="E82">
        <v>795</v>
      </c>
      <c r="F82" s="6">
        <v>156.60869802186531</v>
      </c>
      <c r="G82">
        <v>2.23</v>
      </c>
      <c r="H82">
        <v>2.9886439999999999</v>
      </c>
      <c r="I82">
        <f t="shared" si="8"/>
        <v>0.75864399999999987</v>
      </c>
      <c r="J82">
        <f t="shared" si="9"/>
        <v>0.75864399999999987</v>
      </c>
    </row>
    <row r="83">
      <c r="A83">
        <v>1060</v>
      </c>
      <c r="B83">
        <v>2208068.6519999998</v>
      </c>
      <c r="C83">
        <v>6731143.1449999996</v>
      </c>
      <c r="D83">
        <v>148.446</v>
      </c>
      <c r="E83">
        <v>795</v>
      </c>
      <c r="F83" s="6">
        <v>170.05196031178559</v>
      </c>
      <c r="G83">
        <v>1.71</v>
      </c>
      <c r="H83">
        <v>2.266918</v>
      </c>
      <c r="I83">
        <f t="shared" si="8"/>
        <v>0.55691800000000002</v>
      </c>
      <c r="J83">
        <f t="shared" si="9"/>
        <v>0.55691800000000002</v>
      </c>
    </row>
    <row r="84">
      <c r="A84">
        <v>1061</v>
      </c>
      <c r="B84">
        <v>2208057.4900000002</v>
      </c>
      <c r="C84">
        <v>6731145.9029999999</v>
      </c>
      <c r="D84">
        <v>149.215</v>
      </c>
      <c r="E84">
        <v>795</v>
      </c>
      <c r="F84" s="6">
        <v>181.54964738319043</v>
      </c>
      <c r="G84">
        <v>0.97999999999999998</v>
      </c>
      <c r="H84">
        <v>0.83909400000000001</v>
      </c>
      <c r="I84">
        <f t="shared" si="8"/>
        <v>-0.14090599999999998</v>
      </c>
      <c r="J84">
        <f>ABS(I84)</f>
        <v>0.14090599999999998</v>
      </c>
    </row>
    <row r="85">
      <c r="A85" s="1" t="s">
        <v>51</v>
      </c>
    </row>
    <row r="86">
      <c r="A86">
        <v>1062</v>
      </c>
      <c r="B86">
        <v>2208497.594</v>
      </c>
      <c r="C86">
        <v>6732151.6979999999</v>
      </c>
      <c r="D86">
        <v>151.54400000000001</v>
      </c>
      <c r="E86">
        <v>795</v>
      </c>
      <c r="F86" s="6">
        <v>10.7689054690631</v>
      </c>
      <c r="G86">
        <v>0.81999999999999995</v>
      </c>
      <c r="H86">
        <v>0.219162</v>
      </c>
      <c r="I86">
        <f t="shared" ref="I86:I91" si="10">H86-G86</f>
        <v>-0.60083799999999998</v>
      </c>
      <c r="J86">
        <f t="shared" ref="J86:J91" si="11">ABS(I86)</f>
        <v>0.60083799999999998</v>
      </c>
    </row>
    <row r="87">
      <c r="A87">
        <v>1063</v>
      </c>
      <c r="B87">
        <v>2208512.145</v>
      </c>
      <c r="C87">
        <v>6732150.0889999997</v>
      </c>
      <c r="D87">
        <v>150.34200000000001</v>
      </c>
      <c r="E87">
        <v>795</v>
      </c>
      <c r="F87" s="6">
        <v>25.408594058643857</v>
      </c>
      <c r="G87">
        <v>1.76</v>
      </c>
      <c r="H87">
        <v>0.60274799999999995</v>
      </c>
      <c r="I87">
        <f t="shared" si="10"/>
        <v>-1.1572520000000002</v>
      </c>
      <c r="J87">
        <f t="shared" si="11"/>
        <v>1.1572520000000002</v>
      </c>
    </row>
    <row r="88">
      <c r="A88">
        <v>1064</v>
      </c>
      <c r="B88">
        <v>2208525.253</v>
      </c>
      <c r="C88">
        <v>6732148.1529999999</v>
      </c>
      <c r="D88">
        <v>150.64500000000001</v>
      </c>
      <c r="E88">
        <v>795</v>
      </c>
      <c r="F88" s="6">
        <v>38.658792547694631</v>
      </c>
      <c r="G88">
        <v>3.1200000000000001</v>
      </c>
      <c r="H88">
        <v>0.87568000000000001</v>
      </c>
      <c r="I88">
        <f t="shared" si="10"/>
        <v>-2.2443200000000001</v>
      </c>
      <c r="J88">
        <f t="shared" si="11"/>
        <v>2.2443200000000001</v>
      </c>
    </row>
    <row r="89">
      <c r="A89">
        <v>1065</v>
      </c>
      <c r="B89">
        <v>2208536.727</v>
      </c>
      <c r="C89">
        <v>6732149.1179999998</v>
      </c>
      <c r="D89">
        <v>150.80500000000001</v>
      </c>
      <c r="E89">
        <v>795</v>
      </c>
      <c r="F89" s="6">
        <v>50.173300830643072</v>
      </c>
      <c r="G89">
        <v>2.79</v>
      </c>
      <c r="H89">
        <v>0.99722</v>
      </c>
      <c r="I89">
        <f t="shared" si="10"/>
        <v>-1.79278</v>
      </c>
      <c r="J89">
        <f t="shared" si="11"/>
        <v>1.79278</v>
      </c>
    </row>
    <row r="90">
      <c r="A90">
        <v>1066</v>
      </c>
      <c r="B90">
        <v>2208548.1880000001</v>
      </c>
      <c r="C90">
        <v>6732147.5640000002</v>
      </c>
      <c r="D90">
        <v>150.74100000000001</v>
      </c>
      <c r="E90">
        <v>795</v>
      </c>
      <c r="F90" s="6">
        <v>61.739174641188804</v>
      </c>
      <c r="G90">
        <v>2.6899999999999999</v>
      </c>
      <c r="H90">
        <v>0.97821400000000003</v>
      </c>
      <c r="I90">
        <f t="shared" si="10"/>
        <v>-1.711786</v>
      </c>
      <c r="J90">
        <f t="shared" si="11"/>
        <v>1.711786</v>
      </c>
    </row>
    <row r="91">
      <c r="A91">
        <v>1067</v>
      </c>
      <c r="B91">
        <v>2208560.963</v>
      </c>
      <c r="C91">
        <v>6732145.2970000003</v>
      </c>
      <c r="D91">
        <v>150.80600000000001</v>
      </c>
      <c r="E91">
        <v>795</v>
      </c>
      <c r="F91" s="6">
        <v>74.71376187923174</v>
      </c>
      <c r="G91">
        <v>2.4199999999999999</v>
      </c>
      <c r="H91">
        <v>1.102384</v>
      </c>
      <c r="I91">
        <f t="shared" si="10"/>
        <v>-1.3176159999999999</v>
      </c>
      <c r="J91">
        <f t="shared" si="11"/>
        <v>1.3176159999999999</v>
      </c>
    </row>
    <row r="92">
      <c r="A92" s="1" t="s">
        <v>53</v>
      </c>
    </row>
    <row r="93">
      <c r="A93">
        <v>1068</v>
      </c>
      <c r="B93">
        <v>2207844.2220000001</v>
      </c>
      <c r="C93">
        <v>6730533.284</v>
      </c>
      <c r="D93">
        <v>148.59100000000001</v>
      </c>
      <c r="E93">
        <v>795</v>
      </c>
      <c r="F93" s="6">
        <v>7.8970820559330477</v>
      </c>
      <c r="G93">
        <v>0.92000000000000004</v>
      </c>
      <c r="H93">
        <v>0.42523100000000003</v>
      </c>
      <c r="I93">
        <f t="shared" ref="I93:I108" si="12">H93-G93</f>
        <v>-0.49476900000000001</v>
      </c>
      <c r="J93">
        <f t="shared" ref="J93:J108" si="13">ABS(I93)</f>
        <v>0.49476900000000001</v>
      </c>
    </row>
    <row r="94">
      <c r="A94">
        <v>1069</v>
      </c>
      <c r="B94">
        <v>2207852.96</v>
      </c>
      <c r="C94">
        <v>6730531.3329999996</v>
      </c>
      <c r="D94">
        <v>148.08099999999999</v>
      </c>
      <c r="E94">
        <v>795</v>
      </c>
      <c r="F94" s="6">
        <v>16.850240437171678</v>
      </c>
      <c r="G94">
        <v>1.0800000000000001</v>
      </c>
      <c r="H94">
        <v>1.0883370000000001</v>
      </c>
      <c r="I94">
        <f t="shared" si="12"/>
        <v>0.0083370000000000388</v>
      </c>
      <c r="J94">
        <f t="shared" si="13"/>
        <v>0.0083370000000000388</v>
      </c>
    </row>
    <row r="95">
      <c r="A95">
        <v>1070</v>
      </c>
      <c r="B95">
        <v>2207863.2349999999</v>
      </c>
      <c r="C95">
        <v>6730528.6310000001</v>
      </c>
      <c r="D95">
        <v>147.74000000000001</v>
      </c>
      <c r="E95">
        <v>795</v>
      </c>
      <c r="F95" s="6">
        <v>27.474572368913616</v>
      </c>
      <c r="G95">
        <v>1.55</v>
      </c>
      <c r="H95">
        <v>2.3177590000000001</v>
      </c>
      <c r="I95">
        <f t="shared" si="12"/>
        <v>0.76775900000000008</v>
      </c>
      <c r="J95">
        <f t="shared" si="13"/>
        <v>0.76775900000000008</v>
      </c>
    </row>
    <row r="96">
      <c r="A96">
        <v>1071</v>
      </c>
      <c r="B96">
        <v>2207873.2889999999</v>
      </c>
      <c r="C96">
        <v>6730526.1780000003</v>
      </c>
      <c r="D96">
        <v>147.18000000000001</v>
      </c>
      <c r="E96">
        <v>795</v>
      </c>
      <c r="F96" s="6">
        <v>37.823491394533256</v>
      </c>
      <c r="G96">
        <v>1.6699999999999999</v>
      </c>
      <c r="H96">
        <v>2.666445</v>
      </c>
      <c r="I96">
        <f t="shared" si="12"/>
        <v>0.99644500000000003</v>
      </c>
      <c r="J96">
        <f t="shared" si="13"/>
        <v>0.99644500000000003</v>
      </c>
    </row>
    <row r="97">
      <c r="A97">
        <v>1072</v>
      </c>
      <c r="B97">
        <v>2207886.2969999998</v>
      </c>
      <c r="C97">
        <v>6730522.9539999999</v>
      </c>
      <c r="D97">
        <v>147.113</v>
      </c>
      <c r="E97">
        <v>795</v>
      </c>
      <c r="F97" s="6">
        <v>51.225067421266722</v>
      </c>
      <c r="G97">
        <v>1.55</v>
      </c>
      <c r="H97">
        <v>2.7766280000000001</v>
      </c>
      <c r="I97">
        <f t="shared" si="12"/>
        <v>1.2266280000000001</v>
      </c>
      <c r="J97">
        <f t="shared" si="13"/>
        <v>1.2266280000000001</v>
      </c>
    </row>
    <row r="98">
      <c r="A98">
        <v>1073</v>
      </c>
      <c r="B98">
        <v>2207898.1540000001</v>
      </c>
      <c r="C98">
        <v>6730519.8099999996</v>
      </c>
      <c r="D98">
        <v>146.953</v>
      </c>
      <c r="E98">
        <v>795</v>
      </c>
      <c r="F98" s="6">
        <v>63.49181862153759</v>
      </c>
      <c r="G98">
        <v>2.5600000000000001</v>
      </c>
      <c r="H98">
        <v>2.6888230000000002</v>
      </c>
      <c r="I98">
        <f t="shared" si="12"/>
        <v>0.12882300000000013</v>
      </c>
      <c r="J98">
        <f t="shared" si="13"/>
        <v>0.12882300000000013</v>
      </c>
    </row>
    <row r="99">
      <c r="A99">
        <v>1074</v>
      </c>
      <c r="B99">
        <v>2207909.1499999999</v>
      </c>
      <c r="C99">
        <v>6730516.4900000002</v>
      </c>
      <c r="D99">
        <v>146.87100000000001</v>
      </c>
      <c r="E99">
        <v>795</v>
      </c>
      <c r="F99" s="6">
        <v>74.978089382390152</v>
      </c>
      <c r="G99">
        <v>3.1200000000000001</v>
      </c>
      <c r="H99">
        <v>2.7215349999999998</v>
      </c>
      <c r="I99">
        <f t="shared" si="12"/>
        <v>-0.39846500000000029</v>
      </c>
      <c r="J99">
        <f t="shared" si="13"/>
        <v>0.39846500000000029</v>
      </c>
    </row>
    <row r="100">
      <c r="A100">
        <v>1075</v>
      </c>
      <c r="B100">
        <v>2207921.2620000001</v>
      </c>
      <c r="C100">
        <v>6730514.227</v>
      </c>
      <c r="D100">
        <v>146.81100000000001</v>
      </c>
      <c r="E100">
        <v>795</v>
      </c>
      <c r="F100" s="6">
        <v>87.299684774464865</v>
      </c>
      <c r="G100">
        <v>3.3100000000000001</v>
      </c>
      <c r="H100">
        <v>3.0360149999999999</v>
      </c>
      <c r="I100">
        <f t="shared" si="12"/>
        <v>-0.27398500000000015</v>
      </c>
      <c r="J100">
        <f t="shared" si="13"/>
        <v>0.27398500000000015</v>
      </c>
    </row>
    <row r="101">
      <c r="A101">
        <v>1076</v>
      </c>
      <c r="B101">
        <v>2207935.8760000002</v>
      </c>
      <c r="C101">
        <v>6730511.4239999996</v>
      </c>
      <c r="D101">
        <v>146.65799999999999</v>
      </c>
      <c r="E101">
        <v>795</v>
      </c>
      <c r="F101" s="6">
        <v>102.1800680021729</v>
      </c>
      <c r="G101">
        <v>3.8799999999999999</v>
      </c>
      <c r="H101">
        <v>3.3542679999999998</v>
      </c>
      <c r="I101">
        <f t="shared" si="12"/>
        <v>-0.52573200000000009</v>
      </c>
      <c r="J101">
        <f t="shared" si="13"/>
        <v>0.52573200000000009</v>
      </c>
    </row>
    <row r="102">
      <c r="A102">
        <v>1077</v>
      </c>
      <c r="B102">
        <v>2207948.5690000001</v>
      </c>
      <c r="C102">
        <v>6730507.6440000003</v>
      </c>
      <c r="D102">
        <v>147.065</v>
      </c>
      <c r="E102">
        <v>795</v>
      </c>
      <c r="F102" s="6">
        <v>115.42395900875303</v>
      </c>
      <c r="G102">
        <v>3.5800000000000001</v>
      </c>
      <c r="H102">
        <v>3.3455940000000002</v>
      </c>
      <c r="I102">
        <f t="shared" si="12"/>
        <v>-0.23440599999999989</v>
      </c>
      <c r="J102">
        <f t="shared" si="13"/>
        <v>0.23440599999999989</v>
      </c>
    </row>
    <row r="103">
      <c r="A103">
        <v>1078</v>
      </c>
      <c r="B103">
        <v>2207959.0619999999</v>
      </c>
      <c r="C103">
        <v>6730504.5449999999</v>
      </c>
      <c r="D103">
        <v>146.964</v>
      </c>
      <c r="E103">
        <v>795</v>
      </c>
      <c r="F103" s="6">
        <v>126.36502157131582</v>
      </c>
      <c r="G103">
        <v>3.5600000000000001</v>
      </c>
      <c r="H103">
        <v>2.9569179999999999</v>
      </c>
      <c r="I103">
        <f t="shared" si="12"/>
        <v>-0.60308200000000012</v>
      </c>
      <c r="J103">
        <f t="shared" si="13"/>
        <v>0.60308200000000012</v>
      </c>
    </row>
    <row r="104">
      <c r="A104">
        <v>1079</v>
      </c>
      <c r="B104">
        <v>2207971.247</v>
      </c>
      <c r="C104">
        <v>6730502.1270000003</v>
      </c>
      <c r="D104">
        <v>147.393</v>
      </c>
      <c r="E104">
        <v>795</v>
      </c>
      <c r="F104" s="6">
        <v>138.78761989048465</v>
      </c>
      <c r="G104">
        <v>2.7599999999999998</v>
      </c>
      <c r="H104">
        <v>2.5531329999999999</v>
      </c>
      <c r="I104">
        <f t="shared" si="12"/>
        <v>-0.20686699999999991</v>
      </c>
      <c r="J104">
        <f t="shared" si="13"/>
        <v>0.20686699999999991</v>
      </c>
    </row>
    <row r="105">
      <c r="A105">
        <v>1080</v>
      </c>
      <c r="B105">
        <v>2207986.4589999998</v>
      </c>
      <c r="C105">
        <v>6730498.517</v>
      </c>
      <c r="D105">
        <v>147.476</v>
      </c>
      <c r="E105">
        <v>795</v>
      </c>
      <c r="F105" s="6">
        <v>154.42210242100333</v>
      </c>
      <c r="G105">
        <v>1.4399999999999999</v>
      </c>
      <c r="H105">
        <v>2.1503899999999998</v>
      </c>
      <c r="I105">
        <f t="shared" si="12"/>
        <v>0.71038999999999985</v>
      </c>
      <c r="J105">
        <f t="shared" si="13"/>
        <v>0.71038999999999985</v>
      </c>
    </row>
    <row r="106">
      <c r="A106">
        <v>1081</v>
      </c>
      <c r="B106">
        <v>2207999.2749999999</v>
      </c>
      <c r="C106">
        <v>6730495.2079999996</v>
      </c>
      <c r="D106">
        <v>147.78200000000001</v>
      </c>
      <c r="E106">
        <v>795</v>
      </c>
      <c r="F106" s="6">
        <v>167.65839106265571</v>
      </c>
      <c r="G106">
        <v>0.39000000000000001</v>
      </c>
      <c r="H106">
        <v>1.738982</v>
      </c>
      <c r="I106">
        <f t="shared" si="12"/>
        <v>1.3489819999999999</v>
      </c>
      <c r="J106">
        <f t="shared" si="13"/>
        <v>1.3489819999999999</v>
      </c>
    </row>
    <row r="107">
      <c r="A107">
        <v>1082</v>
      </c>
      <c r="B107">
        <v>2208011.3810000001</v>
      </c>
      <c r="C107">
        <v>6730491.3629999999</v>
      </c>
      <c r="D107">
        <v>147.83500000000001</v>
      </c>
      <c r="E107">
        <v>795</v>
      </c>
      <c r="F107" s="6">
        <v>180.36033032410364</v>
      </c>
      <c r="G107">
        <v>0.17999999999999999</v>
      </c>
      <c r="H107">
        <v>0.32167000000000001</v>
      </c>
      <c r="I107">
        <f t="shared" si="12"/>
        <v>0.14167000000000002</v>
      </c>
      <c r="J107">
        <f t="shared" si="13"/>
        <v>0.14167000000000002</v>
      </c>
    </row>
    <row r="108">
      <c r="A108">
        <v>1083</v>
      </c>
      <c r="B108">
        <v>2208022.0159999998</v>
      </c>
      <c r="C108">
        <v>6730488.7019999996</v>
      </c>
      <c r="D108">
        <v>147.596</v>
      </c>
      <c r="E108">
        <v>795</v>
      </c>
      <c r="F108" s="6">
        <v>191.32318332854146</v>
      </c>
      <c r="G108">
        <v>0.10000000000000001</v>
      </c>
      <c r="H108">
        <v>0.16052900000000001</v>
      </c>
      <c r="I108">
        <f t="shared" si="12"/>
        <v>0.060528999999999999</v>
      </c>
      <c r="J108">
        <f t="shared" si="13"/>
        <v>0.060528999999999999</v>
      </c>
    </row>
    <row r="109">
      <c r="A109" t="s">
        <v>55</v>
      </c>
    </row>
    <row r="110">
      <c r="A110">
        <v>1175</v>
      </c>
      <c r="B110">
        <v>2206849.7489999998</v>
      </c>
      <c r="C110">
        <v>6750293.0590000004</v>
      </c>
      <c r="D110">
        <v>196.56999999999999</v>
      </c>
      <c r="E110">
        <v>797</v>
      </c>
      <c r="F110" s="6">
        <v>2.8092904795872684</v>
      </c>
      <c r="G110">
        <v>0.68999999999999995</v>
      </c>
      <c r="H110">
        <v>0</v>
      </c>
      <c r="I110">
        <f t="shared" ref="I110:I134" si="14">H110-G110</f>
        <v>-0.68999999999999995</v>
      </c>
      <c r="J110">
        <f t="shared" ref="J110:J134" si="15">ABS(I110)</f>
        <v>0.68999999999999995</v>
      </c>
    </row>
    <row r="111">
      <c r="A111">
        <v>1176</v>
      </c>
      <c r="B111">
        <v>2206859.4300000002</v>
      </c>
      <c r="C111">
        <v>6750293.3509999998</v>
      </c>
      <c r="D111">
        <v>195.56399999999999</v>
      </c>
      <c r="E111">
        <v>797</v>
      </c>
      <c r="F111" s="6">
        <v>12.494693156094259</v>
      </c>
      <c r="G111">
        <v>1.71</v>
      </c>
      <c r="H111">
        <v>0.41518500000000003</v>
      </c>
      <c r="I111">
        <f t="shared" si="14"/>
        <v>-1.2948149999999998</v>
      </c>
      <c r="J111">
        <f t="shared" si="15"/>
        <v>1.2948149999999998</v>
      </c>
    </row>
    <row r="112">
      <c r="A112">
        <v>1177</v>
      </c>
      <c r="B112">
        <v>2206869.8289999999</v>
      </c>
      <c r="C112">
        <v>6750293.7620000001</v>
      </c>
      <c r="D112">
        <v>196.22999999999999</v>
      </c>
      <c r="E112">
        <v>797</v>
      </c>
      <c r="F112" s="6">
        <v>22.901811969431176</v>
      </c>
      <c r="G112">
        <v>1.71</v>
      </c>
      <c r="H112">
        <v>1.636225</v>
      </c>
      <c r="I112">
        <f t="shared" si="14"/>
        <v>-0.073774999999999924</v>
      </c>
      <c r="J112">
        <f t="shared" si="15"/>
        <v>0.073774999999999924</v>
      </c>
    </row>
    <row r="113">
      <c r="A113">
        <v>1178</v>
      </c>
      <c r="B113">
        <v>2206883.4980000001</v>
      </c>
      <c r="C113">
        <v>6750294.4309999999</v>
      </c>
      <c r="D113">
        <v>196.245</v>
      </c>
      <c r="E113">
        <v>797</v>
      </c>
      <c r="F113" s="6">
        <v>36.587173565161606</v>
      </c>
      <c r="G113">
        <v>2.25</v>
      </c>
      <c r="H113">
        <v>2.3045789999999999</v>
      </c>
      <c r="I113">
        <f t="shared" si="14"/>
        <v>0.054578999999999933</v>
      </c>
      <c r="J113">
        <f t="shared" si="15"/>
        <v>0.054578999999999933</v>
      </c>
    </row>
    <row r="114">
      <c r="A114">
        <v>1179</v>
      </c>
      <c r="B114">
        <v>2206894.693</v>
      </c>
      <c r="C114">
        <v>6750293.5199999996</v>
      </c>
      <c r="D114">
        <v>195.55799999999999</v>
      </c>
      <c r="E114">
        <v>797</v>
      </c>
      <c r="F114" s="6">
        <v>47.819178995930272</v>
      </c>
      <c r="G114">
        <v>2.4300000000000002</v>
      </c>
      <c r="H114">
        <v>2.5399669999999999</v>
      </c>
      <c r="I114">
        <f t="shared" si="14"/>
        <v>0.1099669999999997</v>
      </c>
      <c r="J114">
        <f t="shared" si="15"/>
        <v>0.1099669999999997</v>
      </c>
    </row>
    <row r="115">
      <c r="A115">
        <v>1180</v>
      </c>
      <c r="B115">
        <v>2206906.2370000002</v>
      </c>
      <c r="C115">
        <v>6750293.1129999999</v>
      </c>
      <c r="D115">
        <v>195.01300000000001</v>
      </c>
      <c r="E115">
        <v>797</v>
      </c>
      <c r="F115" s="6">
        <v>59.370351447459498</v>
      </c>
      <c r="G115">
        <v>2.4300000000000002</v>
      </c>
      <c r="H115">
        <v>2.6512929999999999</v>
      </c>
      <c r="I115">
        <f t="shared" si="14"/>
        <v>0.22129299999999974</v>
      </c>
      <c r="J115">
        <f t="shared" si="15"/>
        <v>0.22129299999999974</v>
      </c>
    </row>
    <row r="116">
      <c r="A116">
        <v>1181</v>
      </c>
      <c r="B116">
        <v>2206917.3960000002</v>
      </c>
      <c r="C116">
        <v>6750292.2230000002</v>
      </c>
      <c r="D116">
        <v>194.93100000000001</v>
      </c>
      <c r="E116">
        <v>797</v>
      </c>
      <c r="F116" s="6">
        <v>70.564786716782848</v>
      </c>
      <c r="G116">
        <v>2.5299999999999998</v>
      </c>
      <c r="H116">
        <v>2.7287439999999998</v>
      </c>
      <c r="I116">
        <f t="shared" si="14"/>
        <v>0.19874400000000003</v>
      </c>
      <c r="J116">
        <f t="shared" si="15"/>
        <v>0.19874400000000003</v>
      </c>
    </row>
    <row r="117">
      <c r="A117">
        <v>1182</v>
      </c>
      <c r="B117">
        <v>2206926.4819999998</v>
      </c>
      <c r="C117">
        <v>6750292.3969999999</v>
      </c>
      <c r="D117">
        <v>193.898</v>
      </c>
      <c r="E117">
        <v>797</v>
      </c>
      <c r="F117" s="6">
        <v>79.652452643395563</v>
      </c>
      <c r="G117">
        <v>2.8199999999999998</v>
      </c>
      <c r="H117">
        <v>2.8088920000000002</v>
      </c>
      <c r="I117">
        <f t="shared" si="14"/>
        <v>-0.011107999999999674</v>
      </c>
      <c r="J117">
        <f t="shared" si="15"/>
        <v>0.011107999999999674</v>
      </c>
    </row>
    <row r="118">
      <c r="A118">
        <v>1183</v>
      </c>
      <c r="B118">
        <v>2206939.7319999998</v>
      </c>
      <c r="C118">
        <v>6750292.4299999997</v>
      </c>
      <c r="D118">
        <v>193.947</v>
      </c>
      <c r="E118">
        <v>797</v>
      </c>
      <c r="F118" s="6">
        <v>92.902493737671008</v>
      </c>
      <c r="G118">
        <v>3.0099999999999998</v>
      </c>
      <c r="H118">
        <v>2.8925079999999999</v>
      </c>
      <c r="I118">
        <f t="shared" si="14"/>
        <v>-0.11749199999999993</v>
      </c>
      <c r="J118">
        <f t="shared" si="15"/>
        <v>0.11749199999999993</v>
      </c>
    </row>
    <row r="119">
      <c r="A119">
        <v>1184</v>
      </c>
      <c r="B119">
        <v>2206950.6430000002</v>
      </c>
      <c r="C119">
        <v>6750291.3590000002</v>
      </c>
      <c r="D119">
        <v>194.822</v>
      </c>
      <c r="E119">
        <v>797</v>
      </c>
      <c r="F119" s="6">
        <v>103.86593124630959</v>
      </c>
      <c r="G119">
        <v>2.5600000000000001</v>
      </c>
      <c r="H119">
        <v>2.948264</v>
      </c>
      <c r="I119">
        <f t="shared" si="14"/>
        <v>0.38826399999999994</v>
      </c>
      <c r="J119">
        <f t="shared" si="15"/>
        <v>0.38826399999999994</v>
      </c>
    </row>
    <row r="120">
      <c r="A120">
        <v>1185</v>
      </c>
      <c r="B120">
        <v>2206961.0279999999</v>
      </c>
      <c r="C120">
        <v>6750290.0329999998</v>
      </c>
      <c r="D120">
        <v>195.08199999999999</v>
      </c>
      <c r="E120">
        <v>797</v>
      </c>
      <c r="F120" s="6">
        <v>114.33524359222258</v>
      </c>
      <c r="G120">
        <v>3.1200000000000001</v>
      </c>
      <c r="H120">
        <v>3.030386</v>
      </c>
      <c r="I120">
        <f t="shared" si="14"/>
        <v>-0.089614000000000082</v>
      </c>
      <c r="J120">
        <f t="shared" si="15"/>
        <v>0.089614000000000082</v>
      </c>
    </row>
    <row r="121">
      <c r="A121">
        <v>1186</v>
      </c>
      <c r="B121">
        <v>2206971.6570000001</v>
      </c>
      <c r="C121">
        <v>6750290.3880000003</v>
      </c>
      <c r="D121">
        <v>195.542</v>
      </c>
      <c r="E121">
        <v>797</v>
      </c>
      <c r="F121" s="6">
        <v>124.97017029645313</v>
      </c>
      <c r="G121">
        <v>2.9900000000000002</v>
      </c>
      <c r="H121">
        <v>3.080041</v>
      </c>
      <c r="I121">
        <f t="shared" si="14"/>
        <v>0.090040999999999816</v>
      </c>
      <c r="J121">
        <f t="shared" si="15"/>
        <v>0.090040999999999816</v>
      </c>
    </row>
    <row r="122">
      <c r="A122">
        <v>1187</v>
      </c>
      <c r="B122">
        <v>2206984.7280000001</v>
      </c>
      <c r="C122">
        <v>6750290.9239999996</v>
      </c>
      <c r="D122">
        <v>195.637</v>
      </c>
      <c r="E122">
        <v>797</v>
      </c>
      <c r="F122" s="6">
        <v>138.05215550509939</v>
      </c>
      <c r="G122">
        <v>3.1800000000000002</v>
      </c>
      <c r="H122">
        <v>2.9667059999999998</v>
      </c>
      <c r="I122">
        <f t="shared" si="14"/>
        <v>-0.21329400000000032</v>
      </c>
      <c r="J122">
        <f t="shared" si="15"/>
        <v>0.21329400000000032</v>
      </c>
    </row>
    <row r="123">
      <c r="A123">
        <v>1188</v>
      </c>
      <c r="B123">
        <v>2206994.2829999998</v>
      </c>
      <c r="C123">
        <v>6750289.9639999997</v>
      </c>
      <c r="D123">
        <v>195.34800000000001</v>
      </c>
      <c r="E123">
        <v>797</v>
      </c>
      <c r="F123" s="6">
        <v>147.65526047142322</v>
      </c>
      <c r="G123">
        <v>2.5600000000000001</v>
      </c>
      <c r="H123">
        <v>2.7940309999999999</v>
      </c>
      <c r="I123">
        <f t="shared" si="14"/>
        <v>0.23403099999999988</v>
      </c>
      <c r="J123">
        <f t="shared" si="15"/>
        <v>0.23403099999999988</v>
      </c>
    </row>
    <row r="124">
      <c r="A124">
        <v>1189</v>
      </c>
      <c r="B124">
        <v>2207006.2590000001</v>
      </c>
      <c r="C124">
        <v>6750289.8430000003</v>
      </c>
      <c r="D124">
        <v>196.38999999999999</v>
      </c>
      <c r="E124">
        <v>797</v>
      </c>
      <c r="F124" s="6">
        <v>159.63187172026977</v>
      </c>
      <c r="G124">
        <v>1.27</v>
      </c>
      <c r="H124">
        <v>2.3518919999999999</v>
      </c>
      <c r="I124">
        <f t="shared" si="14"/>
        <v>1.0818919999999999</v>
      </c>
      <c r="J124">
        <f t="shared" si="15"/>
        <v>1.0818919999999999</v>
      </c>
    </row>
    <row r="125">
      <c r="A125">
        <v>1190</v>
      </c>
      <c r="B125">
        <v>2207016.0899999999</v>
      </c>
      <c r="C125">
        <v>6750289.7180000003</v>
      </c>
      <c r="D125">
        <v>196.74600000000001</v>
      </c>
      <c r="E125">
        <v>797</v>
      </c>
      <c r="F125" s="6">
        <v>169.46366636802009</v>
      </c>
      <c r="G125">
        <v>0.56000000000000005</v>
      </c>
      <c r="H125">
        <v>1.817566</v>
      </c>
      <c r="I125">
        <f t="shared" si="14"/>
        <v>1.257566</v>
      </c>
      <c r="J125">
        <f t="shared" si="15"/>
        <v>1.257566</v>
      </c>
    </row>
    <row r="126">
      <c r="A126">
        <v>1191</v>
      </c>
      <c r="B126">
        <v>2207028.6889999998</v>
      </c>
      <c r="C126">
        <v>6750290.6090000002</v>
      </c>
      <c r="D126">
        <v>196.81800000000001</v>
      </c>
      <c r="E126">
        <v>797</v>
      </c>
      <c r="F126" s="6">
        <v>182.09413278846202</v>
      </c>
      <c r="G126">
        <v>0.39000000000000001</v>
      </c>
      <c r="H126">
        <v>0.91683800000000004</v>
      </c>
      <c r="I126">
        <f t="shared" si="14"/>
        <v>0.52683800000000003</v>
      </c>
      <c r="J126">
        <f t="shared" si="15"/>
        <v>0.52683800000000003</v>
      </c>
    </row>
    <row r="127">
      <c r="A127">
        <v>1192</v>
      </c>
      <c r="B127">
        <v>2207041.3900000001</v>
      </c>
      <c r="C127">
        <v>6750290.8499999996</v>
      </c>
      <c r="D127">
        <v>196.56299999999999</v>
      </c>
      <c r="E127">
        <v>797</v>
      </c>
      <c r="F127" s="6">
        <v>194.79741905653586</v>
      </c>
      <c r="G127">
        <v>0.52000000000000002</v>
      </c>
      <c r="H127">
        <v>0.67441399999999996</v>
      </c>
      <c r="I127">
        <f t="shared" si="14"/>
        <v>0.15441399999999994</v>
      </c>
      <c r="J127">
        <f t="shared" si="15"/>
        <v>0.15441399999999994</v>
      </c>
    </row>
    <row r="128">
      <c r="A128">
        <v>1193</v>
      </c>
      <c r="B128">
        <v>2207052.2960000001</v>
      </c>
      <c r="C128">
        <v>6750291.1799999997</v>
      </c>
      <c r="D128">
        <v>196.459</v>
      </c>
      <c r="E128">
        <v>797</v>
      </c>
      <c r="F128" s="6">
        <v>205.7084105788108</v>
      </c>
      <c r="G128">
        <v>0.97999999999999998</v>
      </c>
      <c r="H128">
        <v>0.80635100000000004</v>
      </c>
      <c r="I128">
        <f t="shared" si="14"/>
        <v>-0.17364899999999994</v>
      </c>
      <c r="J128">
        <f t="shared" si="15"/>
        <v>0.17364899999999994</v>
      </c>
    </row>
    <row r="129">
      <c r="A129">
        <v>1194</v>
      </c>
      <c r="B129">
        <v>2207063.5419999999</v>
      </c>
      <c r="C129">
        <v>6750291.9780000001</v>
      </c>
      <c r="D129">
        <v>195.971</v>
      </c>
      <c r="E129">
        <v>797</v>
      </c>
      <c r="F129" s="6">
        <v>216.98268749559765</v>
      </c>
      <c r="G129">
        <v>0.89000000000000001</v>
      </c>
      <c r="H129">
        <v>0.74181299999999994</v>
      </c>
      <c r="I129">
        <f t="shared" si="14"/>
        <v>-0.14818700000000007</v>
      </c>
      <c r="J129">
        <f t="shared" si="15"/>
        <v>0.14818700000000007</v>
      </c>
    </row>
    <row r="130">
      <c r="A130">
        <v>1195</v>
      </c>
      <c r="B130">
        <v>2207073.5789999999</v>
      </c>
      <c r="C130">
        <v>6750290.1220000004</v>
      </c>
      <c r="D130">
        <v>195.559</v>
      </c>
      <c r="E130">
        <v>797</v>
      </c>
      <c r="F130" s="6">
        <v>227.18984699268768</v>
      </c>
      <c r="G130">
        <v>1.05</v>
      </c>
      <c r="H130">
        <v>0.66975700000000005</v>
      </c>
      <c r="I130">
        <f t="shared" si="14"/>
        <v>-0.380243</v>
      </c>
      <c r="J130">
        <f t="shared" si="15"/>
        <v>0.380243</v>
      </c>
    </row>
    <row r="131">
      <c r="A131">
        <v>1196</v>
      </c>
      <c r="B131">
        <v>2207085.0060000001</v>
      </c>
      <c r="C131">
        <v>6750288.9869999997</v>
      </c>
      <c r="D131">
        <v>195.453</v>
      </c>
      <c r="E131">
        <v>797</v>
      </c>
      <c r="F131" s="6">
        <v>238.67307624254775</v>
      </c>
      <c r="G131">
        <v>1.0600000000000001</v>
      </c>
      <c r="H131">
        <v>0.58384199999999997</v>
      </c>
      <c r="I131">
        <f t="shared" si="14"/>
        <v>-0.47615800000000008</v>
      </c>
      <c r="J131">
        <f t="shared" si="15"/>
        <v>0.47615800000000008</v>
      </c>
    </row>
    <row r="132">
      <c r="A132">
        <v>1197</v>
      </c>
      <c r="B132">
        <v>2207094.0359999998</v>
      </c>
      <c r="C132">
        <v>6750287.1330000004</v>
      </c>
      <c r="D132">
        <v>195.15600000000001</v>
      </c>
      <c r="E132">
        <v>797</v>
      </c>
      <c r="F132" s="6">
        <v>247.89143922053339</v>
      </c>
      <c r="G132">
        <v>0.81999999999999995</v>
      </c>
      <c r="H132">
        <v>0.52671000000000001</v>
      </c>
      <c r="I132">
        <f t="shared" si="14"/>
        <v>-0.29328999999999994</v>
      </c>
      <c r="J132">
        <f t="shared" si="15"/>
        <v>0.29328999999999994</v>
      </c>
    </row>
    <row r="133">
      <c r="A133">
        <v>1198</v>
      </c>
      <c r="B133">
        <v>2207105.7629999998</v>
      </c>
      <c r="C133">
        <v>6750285.6979999999</v>
      </c>
      <c r="D133">
        <v>196.005</v>
      </c>
      <c r="E133">
        <v>797</v>
      </c>
      <c r="F133" s="6">
        <v>259.70591144744424</v>
      </c>
      <c r="G133">
        <v>0.51000000000000001</v>
      </c>
      <c r="H133">
        <v>0.38318799999999997</v>
      </c>
      <c r="I133">
        <f t="shared" si="14"/>
        <v>-0.12681200000000004</v>
      </c>
      <c r="J133">
        <f t="shared" si="15"/>
        <v>0.12681200000000004</v>
      </c>
    </row>
    <row r="134">
      <c r="A134">
        <v>1199</v>
      </c>
      <c r="B134">
        <v>2207115.7510000002</v>
      </c>
      <c r="C134">
        <v>6750283.659</v>
      </c>
      <c r="D134">
        <v>196.50399999999999</v>
      </c>
      <c r="E134">
        <v>797</v>
      </c>
      <c r="F134" s="6">
        <v>269.89991287017818</v>
      </c>
      <c r="G134">
        <v>0.26000000000000001</v>
      </c>
      <c r="H134">
        <v>0.14535999999999999</v>
      </c>
      <c r="I134">
        <f t="shared" si="14"/>
        <v>-0.11464000000000002</v>
      </c>
      <c r="J134">
        <f t="shared" si="15"/>
        <v>0.11464000000000002</v>
      </c>
    </row>
    <row r="135">
      <c r="A135" t="s">
        <v>58</v>
      </c>
    </row>
    <row r="136">
      <c r="A136">
        <v>1200</v>
      </c>
      <c r="B136">
        <v>2207024.1299999999</v>
      </c>
      <c r="C136">
        <v>6750623.4179999996</v>
      </c>
      <c r="D136">
        <v>197.76599999999999</v>
      </c>
      <c r="E136">
        <v>797</v>
      </c>
      <c r="F136" s="6">
        <v>5.2110936470394202</v>
      </c>
      <c r="G136">
        <v>0.81999999999999995</v>
      </c>
      <c r="H136">
        <v>1.0441830000000001</v>
      </c>
      <c r="I136">
        <f t="shared" ref="I136:I147" si="16">H136-G136</f>
        <v>0.22418300000000013</v>
      </c>
      <c r="J136">
        <f t="shared" ref="J136:J147" si="17">ABS(I136)</f>
        <v>0.22418300000000013</v>
      </c>
    </row>
    <row r="137">
      <c r="A137">
        <v>1201</v>
      </c>
      <c r="B137">
        <v>2207015.3319999999</v>
      </c>
      <c r="C137">
        <v>6750623.1679999996</v>
      </c>
      <c r="D137">
        <v>197.37</v>
      </c>
      <c r="E137">
        <v>797</v>
      </c>
      <c r="F137" s="6">
        <v>14.012644873905504</v>
      </c>
      <c r="G137">
        <v>1.76</v>
      </c>
      <c r="H137">
        <v>1.7049179999999999</v>
      </c>
      <c r="I137">
        <f t="shared" si="16"/>
        <v>-0.055082000000000075</v>
      </c>
      <c r="J137">
        <f t="shared" si="17"/>
        <v>0.055082000000000075</v>
      </c>
    </row>
    <row r="138">
      <c r="A138">
        <v>1202</v>
      </c>
      <c r="B138">
        <v>2207006.9900000002</v>
      </c>
      <c r="C138">
        <v>6750623.4450000003</v>
      </c>
      <c r="D138">
        <v>197.21100000000001</v>
      </c>
      <c r="E138">
        <v>797</v>
      </c>
      <c r="F138" s="6">
        <v>22.359242563719135</v>
      </c>
      <c r="G138">
        <v>1.9399999999999999</v>
      </c>
      <c r="H138">
        <v>2.1061969999999999</v>
      </c>
      <c r="I138">
        <f t="shared" si="16"/>
        <v>0.16619699999999993</v>
      </c>
      <c r="J138">
        <f t="shared" si="17"/>
        <v>0.16619699999999993</v>
      </c>
    </row>
    <row r="139">
      <c r="A139">
        <v>1203</v>
      </c>
      <c r="B139">
        <v>2206996.7149999999</v>
      </c>
      <c r="C139">
        <v>6750623.2230000002</v>
      </c>
      <c r="D139">
        <v>197.34200000000001</v>
      </c>
      <c r="E139">
        <v>797</v>
      </c>
      <c r="F139" s="6">
        <v>32.636640532450585</v>
      </c>
      <c r="G139">
        <v>2.0899999999999999</v>
      </c>
      <c r="H139">
        <v>2.3010790000000001</v>
      </c>
      <c r="I139">
        <f t="shared" si="16"/>
        <v>0.21107900000000024</v>
      </c>
      <c r="J139">
        <f t="shared" si="17"/>
        <v>0.21107900000000024</v>
      </c>
    </row>
    <row r="140">
      <c r="A140">
        <v>1204</v>
      </c>
      <c r="B140">
        <v>2206987.4399999999</v>
      </c>
      <c r="C140">
        <v>6750623.3859999999</v>
      </c>
      <c r="D140">
        <v>197.04499999999999</v>
      </c>
      <c r="E140">
        <v>797</v>
      </c>
      <c r="F140" s="6">
        <v>41.913072712883839</v>
      </c>
      <c r="G140">
        <v>2.1699999999999999</v>
      </c>
      <c r="H140">
        <v>2.4005390000000002</v>
      </c>
      <c r="I140">
        <f t="shared" si="16"/>
        <v>0.23053900000000027</v>
      </c>
      <c r="J140">
        <f t="shared" si="17"/>
        <v>0.23053900000000027</v>
      </c>
    </row>
    <row r="141">
      <c r="A141">
        <v>1205</v>
      </c>
      <c r="B141">
        <v>2206976.432</v>
      </c>
      <c r="C141">
        <v>6750624.2939999998</v>
      </c>
      <c r="D141">
        <v>196.934</v>
      </c>
      <c r="E141">
        <v>797</v>
      </c>
      <c r="F141" s="6">
        <v>52.958457631382103</v>
      </c>
      <c r="G141">
        <v>2.4700000000000002</v>
      </c>
      <c r="H141">
        <v>2.5313699999999999</v>
      </c>
      <c r="I141">
        <f t="shared" si="16"/>
        <v>0.061369999999999703</v>
      </c>
      <c r="J141">
        <f t="shared" si="17"/>
        <v>0.061369999999999703</v>
      </c>
    </row>
    <row r="142">
      <c r="A142">
        <v>1206</v>
      </c>
      <c r="B142">
        <v>2206967.4350000001</v>
      </c>
      <c r="C142">
        <v>6750625.6830000002</v>
      </c>
      <c r="D142">
        <v>196.75399999999999</v>
      </c>
      <c r="E142">
        <v>797</v>
      </c>
      <c r="F142" s="6">
        <v>62.062046484176989</v>
      </c>
      <c r="G142">
        <v>2.3300000000000001</v>
      </c>
      <c r="H142">
        <v>2.728332</v>
      </c>
      <c r="I142">
        <f t="shared" si="16"/>
        <v>0.39833199999999991</v>
      </c>
      <c r="J142">
        <f t="shared" si="17"/>
        <v>0.39833199999999991</v>
      </c>
    </row>
    <row r="143">
      <c r="A143">
        <v>1207</v>
      </c>
      <c r="B143">
        <v>2206957.4929999998</v>
      </c>
      <c r="C143">
        <v>6750625.2390000001</v>
      </c>
      <c r="D143">
        <v>196.81899999999999</v>
      </c>
      <c r="E143">
        <v>797</v>
      </c>
      <c r="F143" s="6">
        <v>72.013955848993703</v>
      </c>
      <c r="G143">
        <v>2.6899999999999999</v>
      </c>
      <c r="H143">
        <v>2.8706670000000001</v>
      </c>
      <c r="I143">
        <f t="shared" si="16"/>
        <v>0.18066700000000013</v>
      </c>
      <c r="J143">
        <f t="shared" si="17"/>
        <v>0.18066700000000013</v>
      </c>
    </row>
    <row r="144">
      <c r="A144">
        <v>1208</v>
      </c>
      <c r="B144">
        <v>2206947.7760000001</v>
      </c>
      <c r="C144">
        <v>6750626.4539999999</v>
      </c>
      <c r="D144">
        <v>196.828</v>
      </c>
      <c r="E144">
        <v>797</v>
      </c>
      <c r="F144" s="6">
        <v>81.806622186312836</v>
      </c>
      <c r="G144">
        <v>2.0699999999999998</v>
      </c>
      <c r="H144">
        <v>2.7501910000000001</v>
      </c>
      <c r="I144">
        <f t="shared" si="16"/>
        <v>0.68019100000000021</v>
      </c>
      <c r="J144">
        <f t="shared" si="17"/>
        <v>0.68019100000000021</v>
      </c>
    </row>
    <row r="145">
      <c r="A145">
        <v>1209</v>
      </c>
      <c r="B145">
        <v>2206937.287</v>
      </c>
      <c r="C145">
        <v>6750627.2410000004</v>
      </c>
      <c r="D145">
        <v>197.40700000000001</v>
      </c>
      <c r="E145">
        <v>797</v>
      </c>
      <c r="F145" s="6">
        <v>92.325105442086979</v>
      </c>
      <c r="G145">
        <v>1.71</v>
      </c>
      <c r="H145">
        <v>2.523828</v>
      </c>
      <c r="I145">
        <f t="shared" si="16"/>
        <v>0.813828</v>
      </c>
      <c r="J145">
        <f t="shared" si="17"/>
        <v>0.813828</v>
      </c>
    </row>
    <row r="146">
      <c r="A146">
        <v>1210</v>
      </c>
      <c r="B146">
        <v>2206926.5460000001</v>
      </c>
      <c r="C146">
        <v>6750627.568</v>
      </c>
      <c r="D146">
        <v>197.75200000000001</v>
      </c>
      <c r="E146">
        <v>797</v>
      </c>
      <c r="F146" s="6">
        <v>103.07108189832616</v>
      </c>
      <c r="G146">
        <v>2.1499999999999999</v>
      </c>
      <c r="H146">
        <v>2.3107220000000002</v>
      </c>
      <c r="I146">
        <f t="shared" si="16"/>
        <v>0.16072200000000025</v>
      </c>
      <c r="J146">
        <f t="shared" si="17"/>
        <v>0.16072200000000025</v>
      </c>
    </row>
    <row r="147">
      <c r="A147">
        <v>1211</v>
      </c>
      <c r="B147">
        <v>2206913.1719999998</v>
      </c>
      <c r="C147">
        <v>6750628.4119999995</v>
      </c>
      <c r="D147">
        <v>198.42500000000001</v>
      </c>
      <c r="E147">
        <v>797</v>
      </c>
      <c r="F147" s="6">
        <v>116.47168681032002</v>
      </c>
      <c r="G147">
        <v>0.23000000000000001</v>
      </c>
      <c r="H147">
        <v>2.233616</v>
      </c>
      <c r="I147">
        <f t="shared" si="16"/>
        <v>2.0036160000000001</v>
      </c>
      <c r="J147">
        <f t="shared" si="17"/>
        <v>2.0036160000000001</v>
      </c>
    </row>
    <row r="148">
      <c r="A148" t="s">
        <v>59</v>
      </c>
    </row>
    <row r="149">
      <c r="A149">
        <v>1212</v>
      </c>
      <c r="B149">
        <v>2207094.8539999998</v>
      </c>
      <c r="C149">
        <v>6749999.7369999997</v>
      </c>
      <c r="D149">
        <v>195.15799999999999</v>
      </c>
      <c r="E149">
        <v>797</v>
      </c>
      <c r="F149" s="6">
        <v>3.0345220382473959</v>
      </c>
      <c r="G149">
        <v>1.54</v>
      </c>
      <c r="H149">
        <v>0.29199999999999998</v>
      </c>
      <c r="I149">
        <f t="shared" ref="I149:I155" si="18">H149-G149</f>
        <v>-1.248</v>
      </c>
      <c r="J149">
        <f t="shared" ref="J149:J155" si="19">ABS(I149)</f>
        <v>1.248</v>
      </c>
    </row>
    <row r="150">
      <c r="A150">
        <v>1213</v>
      </c>
      <c r="B150">
        <v>2207086.3500000001</v>
      </c>
      <c r="C150">
        <v>6749997.5259999996</v>
      </c>
      <c r="D150">
        <v>194.613</v>
      </c>
      <c r="E150">
        <v>797</v>
      </c>
      <c r="F150" s="6">
        <v>11.821247082077518</v>
      </c>
      <c r="G150">
        <v>3.77</v>
      </c>
      <c r="H150">
        <v>0.71262599999999998</v>
      </c>
      <c r="I150">
        <f t="shared" si="18"/>
        <v>-3.0573740000000003</v>
      </c>
      <c r="J150">
        <f t="shared" si="19"/>
        <v>3.0573740000000003</v>
      </c>
    </row>
    <row r="151">
      <c r="A151">
        <v>1214</v>
      </c>
      <c r="B151">
        <v>2207075.2140000002</v>
      </c>
      <c r="C151">
        <v>6749994.7549999999</v>
      </c>
      <c r="D151">
        <v>193.708</v>
      </c>
      <c r="E151">
        <v>797</v>
      </c>
      <c r="F151" s="6">
        <v>23.296827110864882</v>
      </c>
      <c r="G151">
        <v>4.46</v>
      </c>
      <c r="H151">
        <v>4.4756299999999998</v>
      </c>
      <c r="I151">
        <f t="shared" si="18"/>
        <v>0.015629999999999811</v>
      </c>
      <c r="J151">
        <f t="shared" si="19"/>
        <v>0.015629999999999811</v>
      </c>
    </row>
    <row r="152">
      <c r="A152">
        <v>1215</v>
      </c>
      <c r="B152">
        <v>2207064.4029999999</v>
      </c>
      <c r="C152">
        <v>6749991.9060000004</v>
      </c>
      <c r="D152">
        <v>194.339</v>
      </c>
      <c r="E152">
        <v>797</v>
      </c>
      <c r="F152" s="6">
        <v>34.476922012147952</v>
      </c>
      <c r="G152">
        <v>4.1500000000000004</v>
      </c>
      <c r="H152">
        <v>4.9629669999999999</v>
      </c>
      <c r="I152">
        <f t="shared" si="18"/>
        <v>0.81296699999999955</v>
      </c>
      <c r="J152">
        <f t="shared" si="19"/>
        <v>0.81296699999999955</v>
      </c>
    </row>
    <row r="153">
      <c r="A153">
        <v>1216</v>
      </c>
      <c r="B153">
        <v>2207054.2039999999</v>
      </c>
      <c r="C153">
        <v>6749989.5760000004</v>
      </c>
      <c r="D153">
        <v>194.27199999999999</v>
      </c>
      <c r="E153">
        <v>797</v>
      </c>
      <c r="F153" s="6">
        <v>44.93868577361777</v>
      </c>
      <c r="G153">
        <v>3.2200000000000002</v>
      </c>
      <c r="H153">
        <v>4.7295160000000003</v>
      </c>
      <c r="I153">
        <f t="shared" si="18"/>
        <v>1.5095160000000001</v>
      </c>
      <c r="J153">
        <f t="shared" si="19"/>
        <v>1.5095160000000001</v>
      </c>
    </row>
    <row r="154">
      <c r="A154">
        <v>1217</v>
      </c>
      <c r="B154">
        <v>2207044.3900000001</v>
      </c>
      <c r="C154">
        <v>6749987.7740000002</v>
      </c>
      <c r="D154">
        <v>194.298</v>
      </c>
      <c r="E154">
        <v>797</v>
      </c>
      <c r="F154" s="6">
        <v>54.916751718288417</v>
      </c>
      <c r="G154">
        <v>3.4500000000000002</v>
      </c>
      <c r="H154">
        <v>4.4146159999999997</v>
      </c>
      <c r="I154">
        <f t="shared" si="18"/>
        <v>0.96461599999999947</v>
      </c>
      <c r="J154">
        <f t="shared" si="19"/>
        <v>0.96461599999999947</v>
      </c>
    </row>
    <row r="155">
      <c r="A155">
        <v>1218</v>
      </c>
      <c r="B155">
        <v>2207035.4029999999</v>
      </c>
      <c r="C155">
        <v>6749986.3370000003</v>
      </c>
      <c r="D155">
        <v>194.10599999999999</v>
      </c>
      <c r="E155">
        <v>797</v>
      </c>
      <c r="F155" s="6">
        <v>64.017913072935045</v>
      </c>
      <c r="G155">
        <v>4</v>
      </c>
      <c r="H155">
        <v>4.3146120000000003</v>
      </c>
      <c r="I155">
        <f t="shared" si="18"/>
        <v>0.31461200000000034</v>
      </c>
      <c r="J155">
        <f t="shared" si="19"/>
        <v>0.31461200000000034</v>
      </c>
    </row>
  </sheetData>
  <pageMargins left="0.69999999999999996" right="0.69999999999999996" top="0.75" bottom="0.75" header="0.29999999999999999" footer="0.29999999999999999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Normal="100" workbookViewId="0">
      <selection activeCell="A15" sqref="A15:J112"/>
    </sheetView>
  </sheetViews>
  <sheetFormatPr defaultRowHeight="15"/>
  <cols>
    <col bestFit="1" customWidth="1" min="1" max="1" width="12.28515625"/>
    <col bestFit="1" customWidth="1" min="2" max="3" width="12"/>
    <col customWidth="1" min="4" max="4" width="13.28515625"/>
    <col customWidth="1" min="5" max="6" width="11.28515625"/>
    <col bestFit="1" customWidth="1" min="7" max="7" width="11.85546875"/>
    <col customWidth="1" min="8" max="10" width="11.85546875"/>
    <col customWidth="1" min="11" max="11" width="2.5703125"/>
    <col bestFit="1" customWidth="1" min="12" max="12" width="12.28515625"/>
  </cols>
  <sheetData>
    <row r="2">
      <c r="A2" t="s">
        <v>21</v>
      </c>
      <c r="B2">
        <v>2201798.2590000001</v>
      </c>
      <c r="C2">
        <v>6718424.6869999999</v>
      </c>
      <c r="D2">
        <v>108.63200000000001</v>
      </c>
      <c r="E2">
        <v>539</v>
      </c>
    </row>
    <row r="3">
      <c r="A3" t="s">
        <v>22</v>
      </c>
      <c r="B3">
        <v>2201958.5320000001</v>
      </c>
      <c r="C3">
        <v>6718307.4239999996</v>
      </c>
      <c r="D3">
        <v>108.633</v>
      </c>
      <c r="E3">
        <v>539</v>
      </c>
    </row>
    <row r="4">
      <c r="A4" t="s">
        <v>23</v>
      </c>
      <c r="B4">
        <v>2201626.7009999999</v>
      </c>
      <c r="C4">
        <v>6717965.9340000004</v>
      </c>
      <c r="D4">
        <v>107.303</v>
      </c>
      <c r="E4">
        <v>539</v>
      </c>
    </row>
    <row r="5">
      <c r="A5" t="s">
        <v>24</v>
      </c>
      <c r="B5">
        <v>2201542.605</v>
      </c>
      <c r="C5">
        <v>6718052.5070000002</v>
      </c>
      <c r="D5">
        <v>107.629</v>
      </c>
      <c r="E5">
        <v>539</v>
      </c>
    </row>
    <row r="6">
      <c r="A6" t="s">
        <v>25</v>
      </c>
      <c r="B6">
        <v>2201322.9210000001</v>
      </c>
      <c r="C6">
        <v>6717840.9440000001</v>
      </c>
      <c r="D6">
        <v>105.69499999999999</v>
      </c>
      <c r="E6">
        <v>539</v>
      </c>
    </row>
    <row r="7" ht="16.5" customHeight="1">
      <c r="A7" t="s">
        <v>26</v>
      </c>
      <c r="B7">
        <v>2201396.838</v>
      </c>
      <c r="C7">
        <v>6717751.3099999996</v>
      </c>
      <c r="D7">
        <v>105.72</v>
      </c>
      <c r="E7">
        <v>539</v>
      </c>
    </row>
    <row r="8">
      <c r="A8" t="s">
        <v>27</v>
      </c>
      <c r="B8">
        <v>2193545.2749999999</v>
      </c>
      <c r="C8">
        <v>6701915.5</v>
      </c>
      <c r="D8">
        <v>73.804000000000002</v>
      </c>
      <c r="E8">
        <v>539</v>
      </c>
    </row>
    <row r="9">
      <c r="A9" t="s">
        <v>28</v>
      </c>
      <c r="B9">
        <v>2193901.6340000001</v>
      </c>
      <c r="C9">
        <v>6702381.176</v>
      </c>
      <c r="D9">
        <v>74.286000000000001</v>
      </c>
      <c r="E9">
        <v>539</v>
      </c>
    </row>
    <row r="10">
      <c r="A10" t="s">
        <v>29</v>
      </c>
      <c r="B10">
        <v>2194297.8300000001</v>
      </c>
      <c r="C10">
        <v>6703230.0060000001</v>
      </c>
      <c r="D10">
        <v>75.331000000000003</v>
      </c>
      <c r="E10">
        <v>539</v>
      </c>
    </row>
    <row r="11">
      <c r="A11" t="s">
        <v>30</v>
      </c>
      <c r="B11">
        <v>2194384.2370000002</v>
      </c>
      <c r="C11">
        <v>6703220.4790000003</v>
      </c>
      <c r="D11">
        <v>75.097999999999999</v>
      </c>
      <c r="E11">
        <v>539</v>
      </c>
    </row>
    <row r="14" ht="30">
      <c r="A14" s="4" t="s">
        <v>0</v>
      </c>
      <c r="B14" s="4" t="s">
        <v>1</v>
      </c>
      <c r="C14" s="4" t="s">
        <v>2</v>
      </c>
      <c r="D14" s="4" t="s">
        <v>3</v>
      </c>
      <c r="E14" s="4" t="s">
        <v>5</v>
      </c>
      <c r="F14" s="7" t="s">
        <v>69</v>
      </c>
      <c r="G14" s="4" t="s">
        <v>35</v>
      </c>
      <c r="H14" s="4" t="s">
        <v>37</v>
      </c>
      <c r="I14" s="4" t="s">
        <v>65</v>
      </c>
      <c r="J14" s="4" t="s">
        <v>61</v>
      </c>
    </row>
    <row r="15">
      <c r="A15" s="33" t="s">
        <v>93</v>
      </c>
      <c r="B15" s="4"/>
      <c r="C15" s="4"/>
      <c r="D15" s="4"/>
      <c r="E15" s="4"/>
      <c r="F15" s="7"/>
      <c r="G15" s="4"/>
      <c r="H15" s="4"/>
      <c r="I15" s="4"/>
      <c r="J15" s="4"/>
    </row>
    <row r="16">
      <c r="A16">
        <v>1084</v>
      </c>
      <c r="B16">
        <v>2202392.3769999999</v>
      </c>
      <c r="C16">
        <v>6718948.432</v>
      </c>
      <c r="D16">
        <v>108.044</v>
      </c>
      <c r="E16">
        <v>539</v>
      </c>
      <c r="F16">
        <v>4.7158461597257313</v>
      </c>
      <c r="G16">
        <v>0.75</v>
      </c>
      <c r="H16">
        <v>2.6615030000000002</v>
      </c>
      <c r="I16">
        <f>H16-G16</f>
        <v>1.9115030000000002</v>
      </c>
      <c r="J16">
        <f t="shared" ref="J16:J28" si="0">ABS(I16)</f>
        <v>1.9115030000000002</v>
      </c>
    </row>
    <row r="17">
      <c r="A17">
        <v>1085</v>
      </c>
      <c r="B17">
        <v>2202386.7170000002</v>
      </c>
      <c r="C17">
        <v>6718955.3770000003</v>
      </c>
      <c r="D17">
        <v>107.562</v>
      </c>
      <c r="E17">
        <v>539</v>
      </c>
      <c r="F17">
        <v>13.675122079160015</v>
      </c>
      <c r="G17">
        <v>3.8799999999999999</v>
      </c>
      <c r="H17">
        <v>4.856738</v>
      </c>
      <c r="I17">
        <f t="shared" ref="I17:I84" si="1">H17-G17</f>
        <v>0.97673800000000011</v>
      </c>
      <c r="J17">
        <f t="shared" si="0"/>
        <v>0.97673800000000011</v>
      </c>
    </row>
    <row r="18">
      <c r="A18">
        <v>1086</v>
      </c>
      <c r="B18">
        <v>2202383.1579999998</v>
      </c>
      <c r="C18">
        <v>6718962.0089999996</v>
      </c>
      <c r="D18">
        <v>106.89</v>
      </c>
      <c r="E18">
        <v>539</v>
      </c>
      <c r="F18">
        <v>21.201735194835514</v>
      </c>
      <c r="G18">
        <v>4.4900000000000002</v>
      </c>
      <c r="H18">
        <v>5.7931929999999996</v>
      </c>
      <c r="I18">
        <f t="shared" si="1"/>
        <v>1.3031929999999994</v>
      </c>
      <c r="J18">
        <f t="shared" si="0"/>
        <v>1.3031929999999994</v>
      </c>
    </row>
    <row r="19">
      <c r="A19">
        <v>1087</v>
      </c>
      <c r="B19">
        <v>2202378.5819999999</v>
      </c>
      <c r="C19">
        <v>6718969.1610000003</v>
      </c>
      <c r="D19">
        <v>106.843</v>
      </c>
      <c r="E19">
        <v>539</v>
      </c>
      <c r="F19">
        <v>29.692370036174587</v>
      </c>
      <c r="G19">
        <v>4.04</v>
      </c>
      <c r="H19">
        <v>6.309971</v>
      </c>
      <c r="I19">
        <f t="shared" si="1"/>
        <v>2.269971</v>
      </c>
      <c r="J19">
        <f t="shared" si="0"/>
        <v>2.269971</v>
      </c>
    </row>
    <row r="20">
      <c r="A20">
        <v>1088</v>
      </c>
      <c r="B20">
        <v>2202373.1260000002</v>
      </c>
      <c r="C20">
        <v>6718977.568</v>
      </c>
      <c r="D20">
        <v>107.124</v>
      </c>
      <c r="E20">
        <v>539</v>
      </c>
      <c r="F20">
        <v>39.714624522654049</v>
      </c>
      <c r="G20">
        <v>4.4800000000000004</v>
      </c>
      <c r="H20">
        <v>6.4902100000000003</v>
      </c>
      <c r="I20">
        <f t="shared" si="1"/>
        <v>2.0102099999999998</v>
      </c>
      <c r="J20">
        <f t="shared" si="0"/>
        <v>2.0102099999999998</v>
      </c>
    </row>
    <row r="21">
      <c r="A21">
        <v>1089</v>
      </c>
      <c r="B21">
        <v>2202367.2239999999</v>
      </c>
      <c r="C21">
        <v>6718985.5410000002</v>
      </c>
      <c r="D21">
        <v>108.384</v>
      </c>
      <c r="E21">
        <v>539</v>
      </c>
      <c r="F21">
        <v>49.63441953094194</v>
      </c>
      <c r="G21">
        <v>3.5099999999999998</v>
      </c>
      <c r="H21">
        <v>5.7343159999999997</v>
      </c>
      <c r="I21">
        <f t="shared" si="1"/>
        <v>2.224316</v>
      </c>
      <c r="J21">
        <f t="shared" si="0"/>
        <v>2.224316</v>
      </c>
    </row>
    <row r="22">
      <c r="A22">
        <v>1090</v>
      </c>
      <c r="B22">
        <v>2202360.861</v>
      </c>
      <c r="C22">
        <v>6718992.6279999996</v>
      </c>
      <c r="D22">
        <v>107.854</v>
      </c>
      <c r="E22">
        <v>539</v>
      </c>
      <c r="F22">
        <v>59.158774521679661</v>
      </c>
      <c r="G22">
        <v>0.89000000000000001</v>
      </c>
      <c r="H22">
        <v>3.583205</v>
      </c>
      <c r="I22">
        <f t="shared" si="1"/>
        <v>2.6932049999999998</v>
      </c>
      <c r="J22">
        <f t="shared" si="0"/>
        <v>2.6932049999999998</v>
      </c>
    </row>
    <row r="23">
      <c r="A23">
        <v>1091</v>
      </c>
      <c r="B23">
        <v>2202353.551</v>
      </c>
      <c r="C23">
        <v>6718999.5580000002</v>
      </c>
      <c r="D23">
        <v>106.851</v>
      </c>
      <c r="E23">
        <v>539</v>
      </c>
      <c r="F23">
        <v>69.23155963849787</v>
      </c>
      <c r="G23">
        <v>3.8300000000000001</v>
      </c>
      <c r="H23">
        <v>2.2105519999999999</v>
      </c>
      <c r="I23">
        <f t="shared" si="1"/>
        <v>-1.6194480000000002</v>
      </c>
      <c r="J23">
        <f t="shared" si="0"/>
        <v>1.6194480000000002</v>
      </c>
    </row>
    <row r="24">
      <c r="A24">
        <v>1092</v>
      </c>
      <c r="B24">
        <v>2202346.8130000001</v>
      </c>
      <c r="C24">
        <v>6719005.0820000004</v>
      </c>
      <c r="D24">
        <v>107.006</v>
      </c>
      <c r="E24">
        <v>539</v>
      </c>
      <c r="F24">
        <v>77.944493702342214</v>
      </c>
      <c r="G24">
        <v>3.4100000000000001</v>
      </c>
      <c r="H24">
        <v>2.3812609999999999</v>
      </c>
      <c r="I24">
        <f t="shared" si="1"/>
        <v>-1.0287390000000003</v>
      </c>
      <c r="J24">
        <f t="shared" si="0"/>
        <v>1.0287390000000003</v>
      </c>
    </row>
    <row r="25">
      <c r="A25">
        <v>1093</v>
      </c>
      <c r="B25">
        <v>2202339.4559999998</v>
      </c>
      <c r="C25">
        <v>6719010.9800000004</v>
      </c>
      <c r="D25">
        <v>106.604</v>
      </c>
      <c r="E25">
        <v>539</v>
      </c>
      <c r="F25">
        <v>87.373801895686881</v>
      </c>
      <c r="G25">
        <v>1.22</v>
      </c>
      <c r="H25">
        <v>2.306254</v>
      </c>
      <c r="I25">
        <f t="shared" si="1"/>
        <v>1.0862540000000001</v>
      </c>
      <c r="J25">
        <f t="shared" si="0"/>
        <v>1.0862540000000001</v>
      </c>
    </row>
    <row r="26">
      <c r="A26">
        <v>1094</v>
      </c>
      <c r="B26">
        <v>2202331.2009999999</v>
      </c>
      <c r="C26">
        <v>6719018.3679999998</v>
      </c>
      <c r="D26">
        <v>107.929</v>
      </c>
      <c r="E26">
        <v>539</v>
      </c>
      <c r="F26">
        <v>98.452049455132226</v>
      </c>
      <c r="G26">
        <v>3.7400000000000002</v>
      </c>
      <c r="H26">
        <v>1.8878140000000001</v>
      </c>
      <c r="I26">
        <f t="shared" si="1"/>
        <v>-1.8521860000000001</v>
      </c>
      <c r="J26">
        <f t="shared" si="0"/>
        <v>1.8521860000000001</v>
      </c>
    </row>
    <row r="27">
      <c r="A27">
        <v>1095</v>
      </c>
      <c r="B27">
        <v>2202319.3999999999</v>
      </c>
      <c r="C27">
        <v>6719026.1859999998</v>
      </c>
      <c r="D27">
        <v>108.361</v>
      </c>
      <c r="E27">
        <v>539</v>
      </c>
      <c r="F27">
        <v>112.60778062660502</v>
      </c>
      <c r="G27">
        <v>0.83999999999999997</v>
      </c>
      <c r="H27">
        <v>1.6053550000000001</v>
      </c>
      <c r="I27">
        <f t="shared" si="1"/>
        <v>0.76535500000000012</v>
      </c>
      <c r="J27">
        <f t="shared" si="0"/>
        <v>0.76535500000000012</v>
      </c>
    </row>
    <row r="28">
      <c r="A28">
        <v>1096</v>
      </c>
      <c r="B28">
        <v>2202314.426</v>
      </c>
      <c r="C28">
        <v>6719029.2539999997</v>
      </c>
      <c r="D28">
        <v>108.307</v>
      </c>
      <c r="E28">
        <v>539</v>
      </c>
      <c r="F28">
        <v>118.4518631037021</v>
      </c>
      <c r="G28">
        <v>0.39000000000000001</v>
      </c>
      <c r="H28">
        <v>1.250189</v>
      </c>
      <c r="I28">
        <f t="shared" si="1"/>
        <v>0.86018899999999998</v>
      </c>
      <c r="J28">
        <f t="shared" si="0"/>
        <v>0.86018899999999998</v>
      </c>
    </row>
    <row r="29">
      <c r="A29" s="1" t="s">
        <v>90</v>
      </c>
    </row>
    <row r="30">
      <c r="A30">
        <v>1097</v>
      </c>
      <c r="B30">
        <v>2201807.8119999999</v>
      </c>
      <c r="C30">
        <v>6718418.6390000004</v>
      </c>
      <c r="D30">
        <v>107.675</v>
      </c>
      <c r="E30">
        <v>539</v>
      </c>
      <c r="F30">
        <v>11.30655177278736</v>
      </c>
      <c r="G30">
        <v>0.62</v>
      </c>
      <c r="H30">
        <v>0.27717199999999997</v>
      </c>
      <c r="I30">
        <f t="shared" si="1"/>
        <v>-0.34282800000000002</v>
      </c>
      <c r="J30">
        <f t="shared" ref="J30:J45" si="2">ABS(I30)</f>
        <v>0.34282800000000002</v>
      </c>
    </row>
    <row r="31">
      <c r="A31">
        <v>1098</v>
      </c>
      <c r="B31">
        <v>2201817.0260000001</v>
      </c>
      <c r="C31">
        <v>6718411.0839999998</v>
      </c>
      <c r="D31">
        <v>106.994</v>
      </c>
      <c r="E31">
        <v>539</v>
      </c>
      <c r="F31">
        <v>23.221912489626099</v>
      </c>
      <c r="G31">
        <v>1.0800000000000001</v>
      </c>
      <c r="H31">
        <v>0.63175599999999998</v>
      </c>
      <c r="I31">
        <f t="shared" si="1"/>
        <v>-0.44824400000000009</v>
      </c>
      <c r="J31">
        <f t="shared" si="2"/>
        <v>0.44824400000000009</v>
      </c>
    </row>
    <row r="32">
      <c r="A32">
        <v>1099</v>
      </c>
      <c r="B32">
        <v>2201825.301</v>
      </c>
      <c r="C32">
        <v>6718405.7819999997</v>
      </c>
      <c r="D32">
        <v>106.84999999999999</v>
      </c>
      <c r="E32">
        <v>539</v>
      </c>
      <c r="F32">
        <v>33.049772327859436</v>
      </c>
      <c r="G32">
        <v>0.89000000000000001</v>
      </c>
      <c r="H32">
        <v>0.85203700000000004</v>
      </c>
      <c r="I32">
        <f t="shared" si="1"/>
        <v>-0.037962999999999969</v>
      </c>
      <c r="J32">
        <f t="shared" si="2"/>
        <v>0.037962999999999969</v>
      </c>
    </row>
    <row r="33">
      <c r="A33">
        <v>1100</v>
      </c>
      <c r="B33">
        <v>2201833.8909999998</v>
      </c>
      <c r="C33">
        <v>6718400.7070000004</v>
      </c>
      <c r="D33">
        <v>106.602</v>
      </c>
      <c r="E33">
        <v>539</v>
      </c>
      <c r="F33">
        <v>43.026932494453817</v>
      </c>
      <c r="G33">
        <v>1.1499999999999999</v>
      </c>
      <c r="H33">
        <v>1.0036039999999999</v>
      </c>
      <c r="I33">
        <f t="shared" si="1"/>
        <v>-0.14639599999999997</v>
      </c>
      <c r="J33">
        <f t="shared" si="2"/>
        <v>0.14639599999999997</v>
      </c>
    </row>
    <row r="34">
      <c r="A34">
        <v>1101</v>
      </c>
      <c r="B34">
        <v>2201843.426</v>
      </c>
      <c r="C34">
        <v>6718393.6169999996</v>
      </c>
      <c r="D34">
        <v>106.283</v>
      </c>
      <c r="E34">
        <v>539</v>
      </c>
      <c r="F34">
        <v>54.909033529789902</v>
      </c>
      <c r="G34">
        <v>1.0600000000000001</v>
      </c>
      <c r="H34">
        <v>1.1063590000000001</v>
      </c>
      <c r="I34">
        <f t="shared" si="1"/>
        <v>0.046359000000000039</v>
      </c>
      <c r="J34">
        <f t="shared" si="2"/>
        <v>0.046359000000000039</v>
      </c>
    </row>
    <row r="35">
      <c r="A35">
        <v>1102</v>
      </c>
      <c r="B35">
        <v>2201851.5839999998</v>
      </c>
      <c r="C35">
        <v>6718386.7220000001</v>
      </c>
      <c r="D35">
        <v>106.096</v>
      </c>
      <c r="E35">
        <v>539</v>
      </c>
      <c r="F35">
        <v>65.590512312754271</v>
      </c>
      <c r="G35">
        <v>1.28</v>
      </c>
      <c r="H35">
        <v>1.142069</v>
      </c>
      <c r="I35">
        <f t="shared" si="1"/>
        <v>-0.13793100000000003</v>
      </c>
      <c r="J35">
        <f t="shared" si="2"/>
        <v>0.13793100000000003</v>
      </c>
    </row>
    <row r="36">
      <c r="A36">
        <v>1103</v>
      </c>
      <c r="B36">
        <v>2201860.8939999999</v>
      </c>
      <c r="C36">
        <v>6718379.7520000003</v>
      </c>
      <c r="D36">
        <v>106.062</v>
      </c>
      <c r="E36">
        <v>539</v>
      </c>
      <c r="F36">
        <v>77.220516611868064</v>
      </c>
      <c r="G36">
        <v>1.1599999999999999</v>
      </c>
      <c r="H36">
        <v>1.169815</v>
      </c>
      <c r="I36">
        <f t="shared" si="1"/>
        <v>0.0098150000000001292</v>
      </c>
      <c r="J36">
        <f t="shared" si="2"/>
        <v>0.0098150000000001292</v>
      </c>
    </row>
    <row r="37">
      <c r="A37">
        <v>1104</v>
      </c>
      <c r="B37">
        <v>2201869.145</v>
      </c>
      <c r="C37">
        <v>6718371.7819999997</v>
      </c>
      <c r="D37">
        <v>106.142</v>
      </c>
      <c r="E37">
        <v>539</v>
      </c>
      <c r="F37">
        <v>88.692216617246231</v>
      </c>
      <c r="G37">
        <v>1.25</v>
      </c>
      <c r="H37">
        <v>1.206383</v>
      </c>
      <c r="I37">
        <f t="shared" si="1"/>
        <v>-0.043617000000000017</v>
      </c>
      <c r="J37">
        <f t="shared" si="2"/>
        <v>0.043617000000000017</v>
      </c>
    </row>
    <row r="38">
      <c r="A38">
        <v>1105</v>
      </c>
      <c r="B38">
        <v>2201878.9810000001</v>
      </c>
      <c r="C38">
        <v>6718364.1529999999</v>
      </c>
      <c r="D38">
        <v>106.34699999999999</v>
      </c>
      <c r="E38">
        <v>539</v>
      </c>
      <c r="F38">
        <v>101.14004923976673</v>
      </c>
      <c r="G38">
        <v>1.1100000000000001</v>
      </c>
      <c r="H38">
        <v>1.228458</v>
      </c>
      <c r="I38">
        <f t="shared" si="1"/>
        <v>0.11845799999999995</v>
      </c>
      <c r="J38">
        <f t="shared" si="2"/>
        <v>0.11845799999999995</v>
      </c>
    </row>
    <row r="39">
      <c r="A39">
        <v>1106</v>
      </c>
      <c r="B39">
        <v>2201888.0780000002</v>
      </c>
      <c r="C39">
        <v>6718355.8030000003</v>
      </c>
      <c r="D39">
        <v>105.93899999999999</v>
      </c>
      <c r="E39">
        <v>539</v>
      </c>
      <c r="F39">
        <v>113.48824380395297</v>
      </c>
      <c r="G39">
        <v>1.3100000000000001</v>
      </c>
      <c r="H39">
        <v>1.293272</v>
      </c>
      <c r="I39">
        <f t="shared" si="1"/>
        <v>-0.016728000000000076</v>
      </c>
      <c r="J39">
        <f t="shared" si="2"/>
        <v>0.016728000000000076</v>
      </c>
    </row>
    <row r="40">
      <c r="A40">
        <v>1107</v>
      </c>
      <c r="B40">
        <v>2201899.557</v>
      </c>
      <c r="C40">
        <v>6718345.7309999997</v>
      </c>
      <c r="D40">
        <v>105.789</v>
      </c>
      <c r="E40">
        <v>539</v>
      </c>
      <c r="F40">
        <v>128.75954450194251</v>
      </c>
      <c r="G40">
        <v>1.4399999999999999</v>
      </c>
      <c r="H40">
        <v>1.331753</v>
      </c>
      <c r="I40">
        <f t="shared" si="1"/>
        <v>-0.10824699999999998</v>
      </c>
      <c r="J40">
        <f t="shared" si="2"/>
        <v>0.10824699999999998</v>
      </c>
    </row>
    <row r="41">
      <c r="A41">
        <v>1108</v>
      </c>
      <c r="B41">
        <v>2201908.702</v>
      </c>
      <c r="C41">
        <v>6718338.7209999999</v>
      </c>
      <c r="D41">
        <v>105.545</v>
      </c>
      <c r="E41">
        <v>539</v>
      </c>
      <c r="F41">
        <v>140.28217983407063</v>
      </c>
      <c r="G41">
        <v>1.3799999999999999</v>
      </c>
      <c r="H41">
        <v>1.3514109999999999</v>
      </c>
      <c r="I41">
        <f t="shared" si="1"/>
        <v>-0.028588999999999976</v>
      </c>
      <c r="J41">
        <f t="shared" si="2"/>
        <v>0.028588999999999976</v>
      </c>
    </row>
    <row r="42">
      <c r="A42">
        <v>1109</v>
      </c>
      <c r="B42">
        <v>2201918.173</v>
      </c>
      <c r="C42">
        <v>6718330.7240000004</v>
      </c>
      <c r="D42">
        <v>106.05</v>
      </c>
      <c r="E42">
        <v>539</v>
      </c>
      <c r="F42">
        <v>152.67781817948475</v>
      </c>
      <c r="G42">
        <v>1.4399999999999999</v>
      </c>
      <c r="H42">
        <v>1.3792230000000001</v>
      </c>
      <c r="I42">
        <f t="shared" si="1"/>
        <v>-0.060776999999999859</v>
      </c>
      <c r="J42">
        <f t="shared" si="2"/>
        <v>0.060776999999999859</v>
      </c>
    </row>
    <row r="43">
      <c r="A43">
        <v>1110</v>
      </c>
      <c r="B43">
        <v>2201928.0129999998</v>
      </c>
      <c r="C43">
        <v>6718323.324</v>
      </c>
      <c r="D43">
        <v>106.217</v>
      </c>
      <c r="E43">
        <v>539</v>
      </c>
      <c r="F43">
        <v>164.98982857594643</v>
      </c>
      <c r="G43">
        <v>1.28</v>
      </c>
      <c r="H43">
        <v>1.362142</v>
      </c>
      <c r="I43">
        <f t="shared" si="1"/>
        <v>0.082141999999999937</v>
      </c>
      <c r="J43">
        <f t="shared" si="2"/>
        <v>0.082141999999999937</v>
      </c>
    </row>
    <row r="44">
      <c r="A44">
        <v>1111</v>
      </c>
      <c r="B44">
        <v>2201937.1209999998</v>
      </c>
      <c r="C44">
        <v>6718315.9170000004</v>
      </c>
      <c r="D44">
        <v>106.80500000000001</v>
      </c>
      <c r="E44">
        <v>539</v>
      </c>
      <c r="F44">
        <v>176.72947563175941</v>
      </c>
      <c r="G44">
        <v>1.1100000000000001</v>
      </c>
      <c r="H44">
        <v>1.285577</v>
      </c>
      <c r="I44">
        <f t="shared" si="1"/>
        <v>0.17557699999999987</v>
      </c>
      <c r="J44">
        <f t="shared" si="2"/>
        <v>0.17557699999999987</v>
      </c>
    </row>
    <row r="45">
      <c r="A45">
        <v>1112</v>
      </c>
      <c r="B45">
        <v>2201947.9249999998</v>
      </c>
      <c r="C45">
        <v>6718307.5319999997</v>
      </c>
      <c r="D45">
        <v>107.46299999999999</v>
      </c>
      <c r="E45">
        <v>539</v>
      </c>
      <c r="F45">
        <v>190.40553650512314</v>
      </c>
      <c r="G45">
        <v>0.84999999999999998</v>
      </c>
      <c r="H45">
        <v>0.84551399999999999</v>
      </c>
      <c r="I45">
        <f t="shared" si="1"/>
        <v>-0.00448599999999999</v>
      </c>
      <c r="J45">
        <f t="shared" si="2"/>
        <v>0.00448599999999999</v>
      </c>
    </row>
    <row r="46">
      <c r="A46" s="1" t="s">
        <v>91</v>
      </c>
    </row>
    <row r="47">
      <c r="A47">
        <v>1113</v>
      </c>
      <c r="B47">
        <v>2201620.6140000001</v>
      </c>
      <c r="C47">
        <v>6717971.4479999999</v>
      </c>
      <c r="D47">
        <v>106.84699999999999</v>
      </c>
      <c r="E47">
        <v>539</v>
      </c>
      <c r="F47">
        <v>8.2131458645493094</v>
      </c>
      <c r="G47">
        <v>0.89000000000000001</v>
      </c>
      <c r="H47">
        <v>2.0901049999999999</v>
      </c>
      <c r="I47">
        <f t="shared" si="1"/>
        <v>1.2001049999999998</v>
      </c>
      <c r="J47">
        <f t="shared" ref="J47:J57" si="3">ABS(I47)</f>
        <v>1.2001049999999998</v>
      </c>
    </row>
    <row r="48">
      <c r="A48">
        <v>1114</v>
      </c>
      <c r="B48">
        <v>2201614.2919999999</v>
      </c>
      <c r="C48">
        <v>6717980.2240000004</v>
      </c>
      <c r="D48">
        <v>106.283</v>
      </c>
      <c r="E48">
        <v>539</v>
      </c>
      <c r="F48">
        <v>19.029146049989443</v>
      </c>
      <c r="G48">
        <v>1.6599999999999999</v>
      </c>
      <c r="H48">
        <v>2.3459379999999999</v>
      </c>
      <c r="I48">
        <f t="shared" si="1"/>
        <v>0.68593799999999994</v>
      </c>
      <c r="J48">
        <f t="shared" si="3"/>
        <v>0.68593799999999994</v>
      </c>
    </row>
    <row r="49">
      <c r="A49">
        <v>1115</v>
      </c>
      <c r="B49">
        <v>2201608.0589999999</v>
      </c>
      <c r="C49">
        <v>6717990.0070000002</v>
      </c>
      <c r="D49">
        <v>106.066</v>
      </c>
      <c r="E49">
        <v>539</v>
      </c>
      <c r="F49">
        <v>30.6290330320507</v>
      </c>
      <c r="G49">
        <v>2.46</v>
      </c>
      <c r="H49">
        <v>2.6046710000000002</v>
      </c>
      <c r="I49">
        <f t="shared" si="1"/>
        <v>0.14467100000000022</v>
      </c>
      <c r="J49">
        <f t="shared" si="3"/>
        <v>0.14467100000000022</v>
      </c>
    </row>
    <row r="50">
      <c r="A50">
        <v>1116</v>
      </c>
      <c r="B50">
        <v>2201599.9589999998</v>
      </c>
      <c r="C50">
        <v>6717998.182</v>
      </c>
      <c r="D50">
        <v>105.842</v>
      </c>
      <c r="E50">
        <v>539</v>
      </c>
      <c r="F50">
        <v>42.137318091018578</v>
      </c>
      <c r="G50">
        <v>2.6299999999999999</v>
      </c>
      <c r="H50">
        <v>3.3948420000000001</v>
      </c>
      <c r="I50">
        <f t="shared" si="1"/>
        <v>0.76484200000000024</v>
      </c>
      <c r="J50">
        <f t="shared" si="3"/>
        <v>0.76484200000000024</v>
      </c>
    </row>
    <row r="51">
      <c r="A51">
        <v>1117</v>
      </c>
      <c r="B51">
        <v>2201594.3769999999</v>
      </c>
      <c r="C51">
        <v>6718004.6979999999</v>
      </c>
      <c r="D51">
        <v>105.73099999999999</v>
      </c>
      <c r="E51">
        <v>539</v>
      </c>
      <c r="F51">
        <v>50.717351890314461</v>
      </c>
      <c r="G51">
        <v>4.5599999999999996</v>
      </c>
      <c r="H51">
        <v>3.7124030000000001</v>
      </c>
      <c r="I51">
        <f t="shared" si="1"/>
        <v>-0.84759699999999949</v>
      </c>
      <c r="J51">
        <f t="shared" si="3"/>
        <v>0.84759699999999949</v>
      </c>
    </row>
    <row r="52">
      <c r="A52">
        <v>1118</v>
      </c>
      <c r="B52">
        <v>2201587.2710000002</v>
      </c>
      <c r="C52">
        <v>6718011.3789999997</v>
      </c>
      <c r="D52">
        <v>105.752</v>
      </c>
      <c r="E52">
        <v>539</v>
      </c>
      <c r="F52">
        <v>60.47086392412335</v>
      </c>
      <c r="G52">
        <v>4.6600000000000001</v>
      </c>
      <c r="H52">
        <v>3.9298769999999998</v>
      </c>
      <c r="I52">
        <f t="shared" si="1"/>
        <v>-0.7301230000000003</v>
      </c>
      <c r="J52">
        <f t="shared" si="3"/>
        <v>0.7301230000000003</v>
      </c>
    </row>
    <row r="53">
      <c r="A53">
        <v>1119</v>
      </c>
      <c r="B53">
        <v>2201581.3429999999</v>
      </c>
      <c r="C53">
        <v>6718018.7149999999</v>
      </c>
      <c r="D53">
        <v>105.65600000000001</v>
      </c>
      <c r="E53">
        <v>539</v>
      </c>
      <c r="F53">
        <v>69.902623039234385</v>
      </c>
      <c r="G53">
        <v>5.29</v>
      </c>
      <c r="H53">
        <v>4.1171360000000004</v>
      </c>
      <c r="I53">
        <f t="shared" si="1"/>
        <v>-1.1728639999999997</v>
      </c>
      <c r="J53">
        <f t="shared" si="3"/>
        <v>1.1728639999999997</v>
      </c>
    </row>
    <row r="54">
      <c r="A54">
        <v>1120</v>
      </c>
      <c r="B54">
        <v>2201571.9399999999</v>
      </c>
      <c r="C54">
        <v>6718026.2350000003</v>
      </c>
      <c r="D54">
        <v>105.815</v>
      </c>
      <c r="E54">
        <v>539</v>
      </c>
      <c r="F54">
        <v>81.942839358139238</v>
      </c>
      <c r="G54">
        <v>4.46</v>
      </c>
      <c r="H54">
        <v>4.2240929999999999</v>
      </c>
      <c r="I54">
        <f t="shared" si="1"/>
        <v>-0.23590700000000009</v>
      </c>
      <c r="J54">
        <f t="shared" si="3"/>
        <v>0.23590700000000009</v>
      </c>
    </row>
    <row r="55">
      <c r="A55">
        <v>1121</v>
      </c>
      <c r="B55">
        <v>2201563.9989999998</v>
      </c>
      <c r="C55">
        <v>6718033.9900000002</v>
      </c>
      <c r="D55">
        <v>106.003</v>
      </c>
      <c r="E55">
        <v>539</v>
      </c>
      <c r="F55">
        <v>93.042366645370095</v>
      </c>
      <c r="G55">
        <v>3.7200000000000002</v>
      </c>
      <c r="H55">
        <v>3.5559059999999998</v>
      </c>
      <c r="I55">
        <f t="shared" si="1"/>
        <v>-0.16409400000000041</v>
      </c>
      <c r="J55">
        <f t="shared" si="3"/>
        <v>0.16409400000000041</v>
      </c>
    </row>
    <row r="56">
      <c r="A56">
        <v>1122</v>
      </c>
      <c r="B56">
        <v>2201556.1099999999</v>
      </c>
      <c r="C56">
        <v>6718041.7079999996</v>
      </c>
      <c r="D56">
        <v>106.191</v>
      </c>
      <c r="E56">
        <v>539</v>
      </c>
      <c r="F56">
        <v>104.07884457043231</v>
      </c>
      <c r="G56">
        <v>3.3900000000000001</v>
      </c>
      <c r="H56">
        <v>2.1899540000000002</v>
      </c>
      <c r="I56">
        <f t="shared" si="1"/>
        <v>-1.2000459999999999</v>
      </c>
      <c r="J56">
        <f t="shared" si="3"/>
        <v>1.2000459999999999</v>
      </c>
    </row>
    <row r="57">
      <c r="A57">
        <v>1123</v>
      </c>
      <c r="B57">
        <v>2201548.4980000001</v>
      </c>
      <c r="C57">
        <v>6718049.7130000005</v>
      </c>
      <c r="D57">
        <v>106.93899999999999</v>
      </c>
      <c r="E57">
        <v>539</v>
      </c>
      <c r="F57">
        <v>115.12522719140999</v>
      </c>
      <c r="G57">
        <v>0.97999999999999998</v>
      </c>
      <c r="H57">
        <v>0.67654899999999996</v>
      </c>
      <c r="I57">
        <f t="shared" si="1"/>
        <v>-0.30345100000000003</v>
      </c>
      <c r="J57">
        <f t="shared" si="3"/>
        <v>0.30345100000000003</v>
      </c>
    </row>
    <row r="58">
      <c r="A58" s="1" t="s">
        <v>92</v>
      </c>
    </row>
    <row r="59">
      <c r="A59">
        <v>1124</v>
      </c>
      <c r="B59">
        <v>2201326.3119999999</v>
      </c>
      <c r="C59">
        <v>6717837.3380000005</v>
      </c>
      <c r="D59">
        <v>104.267</v>
      </c>
      <c r="E59">
        <v>539</v>
      </c>
      <c r="F59">
        <v>4.9499613126293491</v>
      </c>
      <c r="G59">
        <v>0.71999999999999997</v>
      </c>
      <c r="H59">
        <v>0.24719099999999999</v>
      </c>
      <c r="I59">
        <f t="shared" si="1"/>
        <v>-0.47280899999999998</v>
      </c>
      <c r="J59">
        <f t="shared" ref="J59:J69" si="4">ABS(I59)</f>
        <v>0.47280899999999998</v>
      </c>
    </row>
    <row r="60">
      <c r="A60">
        <v>1125</v>
      </c>
      <c r="B60">
        <v>2201332.057</v>
      </c>
      <c r="C60">
        <v>6717828.5439999998</v>
      </c>
      <c r="D60">
        <v>104.026</v>
      </c>
      <c r="E60">
        <v>539</v>
      </c>
      <c r="F60">
        <v>15.454220497049302</v>
      </c>
      <c r="G60">
        <v>2.3100000000000001</v>
      </c>
      <c r="H60">
        <v>0.27320899999999998</v>
      </c>
      <c r="I60">
        <f t="shared" si="1"/>
        <v>-2.036791</v>
      </c>
      <c r="J60">
        <f t="shared" si="4"/>
        <v>2.036791</v>
      </c>
    </row>
    <row r="61">
      <c r="A61">
        <v>1126</v>
      </c>
      <c r="B61">
        <v>2201340.196</v>
      </c>
      <c r="C61">
        <v>6717821.8810000001</v>
      </c>
      <c r="D61">
        <v>103.434</v>
      </c>
      <c r="E61">
        <v>539</v>
      </c>
      <c r="F61">
        <v>25.972722766649383</v>
      </c>
      <c r="G61">
        <v>2.6600000000000001</v>
      </c>
      <c r="H61">
        <v>1.85887</v>
      </c>
      <c r="I61">
        <f t="shared" si="1"/>
        <v>-0.80113000000000012</v>
      </c>
      <c r="J61">
        <f t="shared" si="4"/>
        <v>0.80113000000000012</v>
      </c>
    </row>
    <row r="62">
      <c r="A62">
        <v>1127</v>
      </c>
      <c r="B62">
        <v>2201347.2749999999</v>
      </c>
      <c r="C62">
        <v>6717814.3380000005</v>
      </c>
      <c r="D62">
        <v>103.26600000000001</v>
      </c>
      <c r="E62">
        <v>539</v>
      </c>
      <c r="F62">
        <v>36.317242571486368</v>
      </c>
      <c r="G62">
        <v>3.0099999999999998</v>
      </c>
      <c r="H62">
        <v>3.3464149999999999</v>
      </c>
      <c r="I62">
        <f t="shared" si="1"/>
        <v>0.33641500000000013</v>
      </c>
      <c r="J62">
        <f t="shared" si="4"/>
        <v>0.33641500000000013</v>
      </c>
    </row>
    <row r="63">
      <c r="A63">
        <v>1128</v>
      </c>
      <c r="B63">
        <v>2201353.6699999999</v>
      </c>
      <c r="C63">
        <v>6717807.2249999996</v>
      </c>
      <c r="D63">
        <v>103.004</v>
      </c>
      <c r="E63">
        <v>539</v>
      </c>
      <c r="F63">
        <v>45.882324589535315</v>
      </c>
      <c r="G63">
        <v>2.6899999999999999</v>
      </c>
      <c r="H63">
        <v>3.6771189999999998</v>
      </c>
      <c r="I63">
        <f t="shared" si="1"/>
        <v>0.98711899999999986</v>
      </c>
      <c r="J63">
        <f t="shared" si="4"/>
        <v>0.98711899999999986</v>
      </c>
    </row>
    <row r="64">
      <c r="A64">
        <v>1129</v>
      </c>
      <c r="B64">
        <v>2201359.696</v>
      </c>
      <c r="C64">
        <v>6717799.4210000001</v>
      </c>
      <c r="D64">
        <v>103.09999999999999</v>
      </c>
      <c r="E64">
        <v>539</v>
      </c>
      <c r="F64">
        <v>55.742095986157203</v>
      </c>
      <c r="G64">
        <v>3.29</v>
      </c>
      <c r="H64">
        <v>3.6685400000000001</v>
      </c>
      <c r="I64">
        <f t="shared" si="1"/>
        <v>0.3785400000000001</v>
      </c>
      <c r="J64">
        <f t="shared" si="4"/>
        <v>0.3785400000000001</v>
      </c>
    </row>
    <row r="65">
      <c r="A65">
        <v>1130</v>
      </c>
      <c r="B65">
        <v>2201367.5639999998</v>
      </c>
      <c r="C65">
        <v>6717792.9220000003</v>
      </c>
      <c r="D65">
        <v>103.48399999999999</v>
      </c>
      <c r="E65">
        <v>539</v>
      </c>
      <c r="F65">
        <v>65.947115584103571</v>
      </c>
      <c r="G65">
        <v>3.5800000000000001</v>
      </c>
      <c r="H65">
        <v>3.6834859999999998</v>
      </c>
      <c r="I65">
        <f t="shared" si="1"/>
        <v>0.10348599999999974</v>
      </c>
      <c r="J65">
        <f t="shared" si="4"/>
        <v>0.10348599999999974</v>
      </c>
    </row>
    <row r="66">
      <c r="A66">
        <v>1131</v>
      </c>
      <c r="B66">
        <v>2201374.6830000002</v>
      </c>
      <c r="C66">
        <v>6717785.5049999999</v>
      </c>
      <c r="D66">
        <v>103.57599999999999</v>
      </c>
      <c r="E66">
        <v>539</v>
      </c>
      <c r="F66">
        <v>76.227779473721938</v>
      </c>
      <c r="G66">
        <v>2.6899999999999999</v>
      </c>
      <c r="H66">
        <v>3.1786699999999999</v>
      </c>
      <c r="I66">
        <f t="shared" si="1"/>
        <v>0.48866999999999994</v>
      </c>
      <c r="J66">
        <f t="shared" si="4"/>
        <v>0.48866999999999994</v>
      </c>
    </row>
    <row r="67">
      <c r="A67">
        <v>1132</v>
      </c>
      <c r="B67">
        <v>2201382.5240000002</v>
      </c>
      <c r="C67">
        <v>6717777.1509999996</v>
      </c>
      <c r="D67">
        <v>104.00700000000001</v>
      </c>
      <c r="E67">
        <v>539</v>
      </c>
      <c r="F67">
        <v>87.685117602840933</v>
      </c>
      <c r="G67">
        <v>2.5899999999999999</v>
      </c>
      <c r="H67">
        <v>2.18059</v>
      </c>
      <c r="I67">
        <f t="shared" si="1"/>
        <v>-0.40940999999999983</v>
      </c>
      <c r="J67">
        <f t="shared" si="4"/>
        <v>0.40940999999999983</v>
      </c>
    </row>
    <row r="68">
      <c r="A68">
        <v>1133</v>
      </c>
      <c r="B68">
        <v>2201391.5950000002</v>
      </c>
      <c r="C68">
        <v>6717769.1500000004</v>
      </c>
      <c r="D68">
        <v>103.755</v>
      </c>
      <c r="E68">
        <v>539</v>
      </c>
      <c r="F68">
        <v>99.780531691976222</v>
      </c>
      <c r="G68">
        <v>0.89000000000000001</v>
      </c>
      <c r="H68">
        <v>0.64166599999999996</v>
      </c>
      <c r="I68">
        <f t="shared" si="1"/>
        <v>-0.24833400000000005</v>
      </c>
      <c r="J68">
        <f t="shared" si="4"/>
        <v>0.24833400000000005</v>
      </c>
    </row>
    <row r="69">
      <c r="A69">
        <v>1134</v>
      </c>
      <c r="B69">
        <v>2201401.0780000002</v>
      </c>
      <c r="C69">
        <v>6717761.1909999996</v>
      </c>
      <c r="D69">
        <v>104.55200000000001</v>
      </c>
      <c r="E69">
        <v>539</v>
      </c>
      <c r="F69">
        <v>112.16087781039165</v>
      </c>
      <c r="G69">
        <v>0.33000000000000002</v>
      </c>
      <c r="H69">
        <v>0.36463299999999998</v>
      </c>
      <c r="I69">
        <f t="shared" si="1"/>
        <v>0.034632999999999969</v>
      </c>
      <c r="J69">
        <f t="shared" si="4"/>
        <v>0.034632999999999969</v>
      </c>
    </row>
    <row r="70">
      <c r="A70" s="1" t="s">
        <v>94</v>
      </c>
    </row>
    <row r="71">
      <c r="A71">
        <v>1135</v>
      </c>
      <c r="B71">
        <v>2193402.2349999999</v>
      </c>
      <c r="C71">
        <v>6702066.0159999998</v>
      </c>
      <c r="D71">
        <v>72.742000000000004</v>
      </c>
      <c r="E71">
        <v>539</v>
      </c>
      <c r="F71">
        <v>210.16863988241317</v>
      </c>
      <c r="G71">
        <v>1.1499999999999999</v>
      </c>
      <c r="H71">
        <v>0.81947700000000001</v>
      </c>
      <c r="I71">
        <f t="shared" si="1"/>
        <v>-0.3305229999999999</v>
      </c>
      <c r="J71">
        <f t="shared" ref="J71:J91" si="5">ABS(I71)</f>
        <v>0.3305229999999999</v>
      </c>
    </row>
    <row r="72">
      <c r="A72">
        <v>1136</v>
      </c>
      <c r="B72">
        <v>2193406.861</v>
      </c>
      <c r="C72">
        <v>6702059.0990000004</v>
      </c>
      <c r="D72">
        <v>72.736999999999995</v>
      </c>
      <c r="E72">
        <v>539</v>
      </c>
      <c r="F72">
        <v>201.84729594085644</v>
      </c>
      <c r="G72">
        <v>1.0600000000000001</v>
      </c>
      <c r="H72">
        <v>1.480802</v>
      </c>
      <c r="I72">
        <f t="shared" si="1"/>
        <v>0.4208019999999999</v>
      </c>
      <c r="J72">
        <f t="shared" si="5"/>
        <v>0.4208019999999999</v>
      </c>
    </row>
    <row r="73">
      <c r="A73">
        <v>1137</v>
      </c>
      <c r="B73">
        <v>2193416.0490000001</v>
      </c>
      <c r="C73">
        <v>6702049.5219999999</v>
      </c>
      <c r="D73">
        <v>72.555999999999997</v>
      </c>
      <c r="E73">
        <v>539</v>
      </c>
      <c r="F73">
        <v>188.57558644240248</v>
      </c>
      <c r="G73">
        <v>1.54</v>
      </c>
      <c r="H73">
        <v>1.549715</v>
      </c>
      <c r="I73">
        <f t="shared" si="1"/>
        <v>0.0097149999999999181</v>
      </c>
      <c r="J73">
        <f t="shared" si="5"/>
        <v>0.0097149999999999181</v>
      </c>
    </row>
    <row r="74">
      <c r="A74">
        <v>1138</v>
      </c>
      <c r="B74">
        <v>2193422.2519999999</v>
      </c>
      <c r="C74">
        <v>6702043.773</v>
      </c>
      <c r="D74">
        <v>72.593999999999994</v>
      </c>
      <c r="E74">
        <v>539</v>
      </c>
      <c r="F74">
        <v>180.11815125228884</v>
      </c>
      <c r="G74">
        <v>1.3799999999999999</v>
      </c>
      <c r="H74">
        <v>1.6317360000000001</v>
      </c>
      <c r="I74">
        <f t="shared" si="1"/>
        <v>0.25173600000000018</v>
      </c>
      <c r="J74">
        <f t="shared" si="5"/>
        <v>0.25173600000000018</v>
      </c>
    </row>
    <row r="75">
      <c r="A75">
        <v>1139</v>
      </c>
      <c r="B75">
        <v>2193429.5189999999</v>
      </c>
      <c r="C75">
        <v>6702036.9680000003</v>
      </c>
      <c r="D75">
        <v>72.352000000000004</v>
      </c>
      <c r="E75">
        <v>539</v>
      </c>
      <c r="F75">
        <v>170.16238337653783</v>
      </c>
      <c r="G75">
        <v>1.3799999999999999</v>
      </c>
      <c r="H75">
        <v>1.7632140000000001</v>
      </c>
      <c r="I75">
        <f t="shared" si="1"/>
        <v>0.38321400000000017</v>
      </c>
      <c r="J75">
        <f t="shared" si="5"/>
        <v>0.38321400000000017</v>
      </c>
    </row>
    <row r="76">
      <c r="A76">
        <v>1140</v>
      </c>
      <c r="B76">
        <v>2193436.7540000002</v>
      </c>
      <c r="C76">
        <v>6702029.1579999998</v>
      </c>
      <c r="D76">
        <v>72.058000000000007</v>
      </c>
      <c r="E76">
        <v>539</v>
      </c>
      <c r="F76">
        <v>159.51619509091194</v>
      </c>
      <c r="G76">
        <v>1.77</v>
      </c>
      <c r="H76">
        <v>1.903168</v>
      </c>
      <c r="I76">
        <f t="shared" si="1"/>
        <v>0.13316799999999995</v>
      </c>
      <c r="J76">
        <f t="shared" si="5"/>
        <v>0.13316799999999995</v>
      </c>
    </row>
    <row r="77">
      <c r="A77">
        <v>1141</v>
      </c>
      <c r="B77">
        <v>2193444.0329999998</v>
      </c>
      <c r="C77">
        <v>6702022.6849999996</v>
      </c>
      <c r="D77">
        <v>72.069000000000003</v>
      </c>
      <c r="E77">
        <v>539</v>
      </c>
      <c r="F77">
        <v>149.77537531033798</v>
      </c>
      <c r="G77">
        <v>2.4700000000000002</v>
      </c>
      <c r="H77">
        <v>2.0203319999999998</v>
      </c>
      <c r="I77">
        <f t="shared" si="1"/>
        <v>-0.4496680000000004</v>
      </c>
      <c r="J77">
        <f t="shared" si="5"/>
        <v>0.4496680000000004</v>
      </c>
    </row>
    <row r="78">
      <c r="A78">
        <v>1142</v>
      </c>
      <c r="B78">
        <v>2193451.105</v>
      </c>
      <c r="C78">
        <v>6702014.9720000001</v>
      </c>
      <c r="D78">
        <v>71.994</v>
      </c>
      <c r="E78">
        <v>539</v>
      </c>
      <c r="F78">
        <v>139.31098077482326</v>
      </c>
      <c r="G78">
        <v>2.4900000000000002</v>
      </c>
      <c r="H78">
        <v>2.124657</v>
      </c>
      <c r="I78">
        <f t="shared" si="1"/>
        <v>-0.3653430000000002</v>
      </c>
      <c r="J78">
        <f t="shared" si="5"/>
        <v>0.3653430000000002</v>
      </c>
    </row>
    <row r="79">
      <c r="A79">
        <v>1143</v>
      </c>
      <c r="B79">
        <v>2193458.5699999998</v>
      </c>
      <c r="C79">
        <v>6702007.8389999997</v>
      </c>
      <c r="D79">
        <v>72.034000000000006</v>
      </c>
      <c r="E79">
        <v>539</v>
      </c>
      <c r="F79">
        <v>128.9859667795206</v>
      </c>
      <c r="G79">
        <v>2.3100000000000001</v>
      </c>
      <c r="H79">
        <v>2.0877059999999998</v>
      </c>
      <c r="I79">
        <f t="shared" si="1"/>
        <v>-0.22229400000000021</v>
      </c>
      <c r="J79">
        <f t="shared" si="5"/>
        <v>0.22229400000000021</v>
      </c>
    </row>
    <row r="80">
      <c r="A80">
        <v>1144</v>
      </c>
      <c r="B80">
        <v>2193465.699</v>
      </c>
      <c r="C80">
        <v>6702002.3669999996</v>
      </c>
      <c r="D80">
        <v>72.244</v>
      </c>
      <c r="E80">
        <v>539</v>
      </c>
      <c r="F80">
        <v>119.99900817254778</v>
      </c>
      <c r="G80">
        <v>2.5299999999999998</v>
      </c>
      <c r="H80">
        <v>1.9311860000000001</v>
      </c>
      <c r="I80">
        <f t="shared" si="1"/>
        <v>-0.59881399999999974</v>
      </c>
      <c r="J80">
        <f t="shared" si="5"/>
        <v>0.59881399999999974</v>
      </c>
    </row>
    <row r="81">
      <c r="A81">
        <v>1145</v>
      </c>
      <c r="B81">
        <v>2193474.1919999998</v>
      </c>
      <c r="C81">
        <v>6701994.9749999996</v>
      </c>
      <c r="D81">
        <v>72.376000000000005</v>
      </c>
      <c r="E81">
        <v>539</v>
      </c>
      <c r="F81">
        <v>108.73966924895996</v>
      </c>
      <c r="G81">
        <v>1.9299999999999999</v>
      </c>
      <c r="H81">
        <v>1.81101</v>
      </c>
      <c r="I81">
        <f t="shared" si="1"/>
        <v>-0.11898999999999993</v>
      </c>
      <c r="J81">
        <f t="shared" si="5"/>
        <v>0.11898999999999993</v>
      </c>
    </row>
    <row r="82">
      <c r="A82">
        <v>1146</v>
      </c>
      <c r="B82">
        <v>2193480.8730000001</v>
      </c>
      <c r="C82">
        <v>6701989.1830000002</v>
      </c>
      <c r="D82">
        <v>72.421000000000006</v>
      </c>
      <c r="E82">
        <v>539</v>
      </c>
      <c r="F82">
        <v>99.89755270381815</v>
      </c>
      <c r="G82">
        <v>2.1000000000000001</v>
      </c>
      <c r="H82">
        <v>1.7330719999999999</v>
      </c>
      <c r="I82">
        <f t="shared" si="1"/>
        <v>-0.36692800000000014</v>
      </c>
      <c r="J82">
        <f t="shared" si="5"/>
        <v>0.36692800000000014</v>
      </c>
    </row>
    <row r="83">
      <c r="A83">
        <v>1147</v>
      </c>
      <c r="B83">
        <v>2193489.2289999998</v>
      </c>
      <c r="C83">
        <v>6701982.5109999999</v>
      </c>
      <c r="D83">
        <v>72.515000000000001</v>
      </c>
      <c r="E83">
        <v>539</v>
      </c>
      <c r="F83">
        <v>89.204642903486615</v>
      </c>
      <c r="G83">
        <v>1.8700000000000001</v>
      </c>
      <c r="H83">
        <v>1.6887430000000001</v>
      </c>
      <c r="I83">
        <f t="shared" si="1"/>
        <v>-0.181257</v>
      </c>
      <c r="J83">
        <f t="shared" si="5"/>
        <v>0.181257</v>
      </c>
    </row>
    <row r="84">
      <c r="A84">
        <v>1148</v>
      </c>
      <c r="B84">
        <v>2193495.8459999999</v>
      </c>
      <c r="C84">
        <v>6701976.9189999998</v>
      </c>
      <c r="D84">
        <v>72.408000000000001</v>
      </c>
      <c r="E84">
        <v>539</v>
      </c>
      <c r="F84">
        <v>80.541205190711509</v>
      </c>
      <c r="G84">
        <v>1.97</v>
      </c>
      <c r="H84">
        <v>1.6887669999999999</v>
      </c>
      <c r="I84">
        <f t="shared" si="1"/>
        <v>-0.28123300000000007</v>
      </c>
      <c r="J84">
        <f t="shared" si="5"/>
        <v>0.28123300000000007</v>
      </c>
    </row>
    <row r="85">
      <c r="A85">
        <v>1149</v>
      </c>
      <c r="B85">
        <v>2193503.031</v>
      </c>
      <c r="C85">
        <v>6701969.7810000004</v>
      </c>
      <c r="D85">
        <v>72.352999999999994</v>
      </c>
      <c r="E85">
        <v>539</v>
      </c>
      <c r="F85">
        <v>70.413260236707444</v>
      </c>
      <c r="G85">
        <v>1.9299999999999999</v>
      </c>
      <c r="H85">
        <v>1.591674</v>
      </c>
      <c r="I85">
        <f t="shared" ref="I85:I112" si="6">H85-G85</f>
        <v>-0.3383259999999999</v>
      </c>
      <c r="J85">
        <f t="shared" si="5"/>
        <v>0.3383259999999999</v>
      </c>
    </row>
    <row r="86">
      <c r="A86">
        <v>1150</v>
      </c>
      <c r="B86">
        <v>2193510.1510000001</v>
      </c>
      <c r="C86">
        <v>6701963.7180000003</v>
      </c>
      <c r="D86">
        <v>72.260999999999996</v>
      </c>
      <c r="E86">
        <v>539</v>
      </c>
      <c r="F86">
        <v>61.061556167256512</v>
      </c>
      <c r="G86">
        <v>1.8999999999999999</v>
      </c>
      <c r="H86">
        <v>1.534359</v>
      </c>
      <c r="I86">
        <f t="shared" si="6"/>
        <v>-0.36564099999999988</v>
      </c>
      <c r="J86">
        <f t="shared" si="5"/>
        <v>0.36564099999999988</v>
      </c>
    </row>
    <row r="87">
      <c r="A87">
        <v>1151</v>
      </c>
      <c r="B87">
        <v>2193516.4389999998</v>
      </c>
      <c r="C87">
        <v>6701955.4639999997</v>
      </c>
      <c r="D87">
        <v>72.215999999999994</v>
      </c>
      <c r="E87">
        <v>539</v>
      </c>
      <c r="F87">
        <v>50.685262994491524</v>
      </c>
      <c r="G87">
        <v>1.8700000000000001</v>
      </c>
      <c r="H87">
        <v>1.5028919999999999</v>
      </c>
      <c r="I87">
        <f t="shared" si="6"/>
        <v>-0.36710800000000021</v>
      </c>
      <c r="J87">
        <f t="shared" si="5"/>
        <v>0.36710800000000021</v>
      </c>
    </row>
    <row r="88">
      <c r="A88">
        <v>1152</v>
      </c>
      <c r="B88">
        <v>2193522.736</v>
      </c>
      <c r="C88">
        <v>6701949.3310000002</v>
      </c>
      <c r="D88">
        <v>72.082999999999998</v>
      </c>
      <c r="E88">
        <v>539</v>
      </c>
      <c r="F88">
        <v>41.895160719976879</v>
      </c>
      <c r="G88">
        <v>1.6699999999999999</v>
      </c>
      <c r="H88">
        <v>1.4580519999999999</v>
      </c>
      <c r="I88">
        <f t="shared" si="6"/>
        <v>-0.21194800000000003</v>
      </c>
      <c r="J88">
        <f t="shared" si="5"/>
        <v>0.21194800000000003</v>
      </c>
    </row>
    <row r="89">
      <c r="A89">
        <v>1153</v>
      </c>
      <c r="B89">
        <v>2193529.2930000001</v>
      </c>
      <c r="C89">
        <v>6701941.6169999996</v>
      </c>
      <c r="D89">
        <v>72.278000000000006</v>
      </c>
      <c r="E89">
        <v>539</v>
      </c>
      <c r="F89">
        <v>31.770930131436756</v>
      </c>
      <c r="G89">
        <v>1.71</v>
      </c>
      <c r="H89">
        <v>1.2982229999999999</v>
      </c>
      <c r="I89">
        <f t="shared" si="6"/>
        <v>-0.41177700000000006</v>
      </c>
      <c r="J89">
        <f t="shared" si="5"/>
        <v>0.41177700000000006</v>
      </c>
    </row>
    <row r="90">
      <c r="A90">
        <v>1154</v>
      </c>
      <c r="B90">
        <v>2193536.8960000002</v>
      </c>
      <c r="C90">
        <v>6701935.3650000002</v>
      </c>
      <c r="D90">
        <v>72.548000000000002</v>
      </c>
      <c r="E90">
        <v>539</v>
      </c>
      <c r="F90">
        <v>21.927500190899437</v>
      </c>
      <c r="G90">
        <v>1.22</v>
      </c>
      <c r="H90">
        <v>1.0854299999999999</v>
      </c>
      <c r="I90">
        <f t="shared" si="6"/>
        <v>-0.13457000000000008</v>
      </c>
      <c r="J90">
        <f t="shared" si="5"/>
        <v>0.13457000000000008</v>
      </c>
    </row>
    <row r="91">
      <c r="A91">
        <v>1155</v>
      </c>
      <c r="B91">
        <v>2193542.6370000001</v>
      </c>
      <c r="C91">
        <v>6701926.8870000001</v>
      </c>
      <c r="D91">
        <v>72.933999999999997</v>
      </c>
      <c r="E91">
        <v>539</v>
      </c>
      <c r="F91">
        <v>11.688576175109345</v>
      </c>
      <c r="G91">
        <v>0.58999999999999997</v>
      </c>
      <c r="H91">
        <v>0.70156499999999999</v>
      </c>
      <c r="I91">
        <f t="shared" si="6"/>
        <v>0.11156500000000003</v>
      </c>
      <c r="J91">
        <f t="shared" si="5"/>
        <v>0.11156500000000003</v>
      </c>
    </row>
    <row r="92">
      <c r="A92" s="1" t="s">
        <v>95</v>
      </c>
    </row>
    <row r="93">
      <c r="A93">
        <v>1156</v>
      </c>
      <c r="B93">
        <v>2193895.3050000002</v>
      </c>
      <c r="C93">
        <v>6702387.4199999999</v>
      </c>
      <c r="D93">
        <v>73.480999999999995</v>
      </c>
      <c r="E93">
        <v>539</v>
      </c>
      <c r="F93">
        <v>8.8906567247991859</v>
      </c>
      <c r="G93">
        <v>0.46000000000000002</v>
      </c>
      <c r="H93">
        <v>0.30385200000000001</v>
      </c>
      <c r="I93">
        <f t="shared" si="6"/>
        <v>-0.15614800000000001</v>
      </c>
      <c r="J93">
        <f t="shared" ref="J93:J101" si="7">ABS(I93)</f>
        <v>0.15614800000000001</v>
      </c>
    </row>
    <row r="94">
      <c r="A94">
        <v>1157</v>
      </c>
      <c r="B94">
        <v>2193889.5109999999</v>
      </c>
      <c r="C94">
        <v>6702392.1710000001</v>
      </c>
      <c r="D94">
        <v>73.122</v>
      </c>
      <c r="E94">
        <v>539</v>
      </c>
      <c r="F94">
        <v>16.383482427042019</v>
      </c>
      <c r="G94">
        <v>0.72999999999999998</v>
      </c>
      <c r="H94">
        <v>0.74654299999999996</v>
      </c>
      <c r="I94">
        <f t="shared" si="6"/>
        <v>0.016542999999999974</v>
      </c>
      <c r="J94">
        <f t="shared" si="7"/>
        <v>0.016542999999999974</v>
      </c>
    </row>
    <row r="95">
      <c r="A95">
        <v>1158</v>
      </c>
      <c r="B95">
        <v>2193882.4559999998</v>
      </c>
      <c r="C95">
        <v>6702397.4819999998</v>
      </c>
      <c r="D95">
        <v>72.465999999999994</v>
      </c>
      <c r="E95">
        <v>539</v>
      </c>
      <c r="F95">
        <v>25.21409656195663</v>
      </c>
      <c r="G95">
        <v>0.81999999999999995</v>
      </c>
      <c r="H95">
        <v>0.88662099999999999</v>
      </c>
      <c r="I95">
        <f t="shared" si="6"/>
        <v>0.066621000000000041</v>
      </c>
      <c r="J95">
        <f t="shared" si="7"/>
        <v>0.066621000000000041</v>
      </c>
    </row>
    <row r="96">
      <c r="A96">
        <v>1159</v>
      </c>
      <c r="B96">
        <v>2193875.298</v>
      </c>
      <c r="C96">
        <v>6702403.2850000001</v>
      </c>
      <c r="D96">
        <v>72.105000000000004</v>
      </c>
      <c r="E96">
        <v>539</v>
      </c>
      <c r="F96">
        <v>34.428854996174287</v>
      </c>
      <c r="G96">
        <v>0.78000000000000003</v>
      </c>
      <c r="H96">
        <v>0.99212400000000001</v>
      </c>
      <c r="I96">
        <f t="shared" si="6"/>
        <v>0.21212399999999998</v>
      </c>
      <c r="J96">
        <f t="shared" si="7"/>
        <v>0.21212399999999998</v>
      </c>
    </row>
    <row r="97">
      <c r="A97">
        <v>1160</v>
      </c>
      <c r="B97">
        <v>2193867.051</v>
      </c>
      <c r="C97">
        <v>6702410.1299999999</v>
      </c>
      <c r="D97">
        <v>71.599999999999994</v>
      </c>
      <c r="E97">
        <v>539</v>
      </c>
      <c r="F97">
        <v>45.146458925971281</v>
      </c>
      <c r="G97">
        <v>1.1200000000000001</v>
      </c>
      <c r="H97">
        <v>1.1172200000000001</v>
      </c>
      <c r="I97">
        <f t="shared" si="6"/>
        <v>-0.0027800000000000047</v>
      </c>
      <c r="J97">
        <f t="shared" si="7"/>
        <v>0.0027800000000000047</v>
      </c>
    </row>
    <row r="98">
      <c r="A98">
        <v>1161</v>
      </c>
      <c r="B98">
        <v>2193857.6209999998</v>
      </c>
      <c r="C98">
        <v>6702417.3229999999</v>
      </c>
      <c r="D98">
        <v>71.013000000000005</v>
      </c>
      <c r="E98">
        <v>539</v>
      </c>
      <c r="F98">
        <v>57.00665070362534</v>
      </c>
      <c r="G98">
        <v>1.1599999999999999</v>
      </c>
      <c r="H98">
        <v>1.249171</v>
      </c>
      <c r="I98">
        <f t="shared" si="6"/>
        <v>0.089171000000000111</v>
      </c>
      <c r="J98">
        <f t="shared" si="7"/>
        <v>0.089171000000000111</v>
      </c>
    </row>
    <row r="99">
      <c r="A99">
        <v>1162</v>
      </c>
      <c r="B99">
        <v>2193851.1669999999</v>
      </c>
      <c r="C99">
        <v>6702420.7699999996</v>
      </c>
      <c r="D99">
        <v>70.741</v>
      </c>
      <c r="E99">
        <v>539</v>
      </c>
      <c r="F99">
        <v>64.323475492886047</v>
      </c>
      <c r="G99">
        <v>1.3799999999999999</v>
      </c>
      <c r="H99">
        <v>1.2962469999999999</v>
      </c>
      <c r="I99">
        <f t="shared" si="6"/>
        <v>-0.083752999999999966</v>
      </c>
      <c r="J99">
        <f t="shared" si="7"/>
        <v>0.083752999999999966</v>
      </c>
    </row>
    <row r="100">
      <c r="A100">
        <v>1163</v>
      </c>
      <c r="B100">
        <v>2193846.0099999998</v>
      </c>
      <c r="C100">
        <v>6702425.2230000002</v>
      </c>
      <c r="D100">
        <v>70.524000000000001</v>
      </c>
      <c r="E100">
        <v>539</v>
      </c>
      <c r="F100">
        <v>71.13698105223699</v>
      </c>
      <c r="G100">
        <v>1.27</v>
      </c>
      <c r="H100">
        <v>1.3331459999999999</v>
      </c>
      <c r="I100">
        <f t="shared" si="6"/>
        <v>0.063145999999999924</v>
      </c>
      <c r="J100">
        <f t="shared" si="7"/>
        <v>0.063145999999999924</v>
      </c>
    </row>
    <row r="101">
      <c r="A101">
        <v>1164</v>
      </c>
      <c r="B101">
        <v>2193839.7969999998</v>
      </c>
      <c r="C101">
        <v>6702429.9340000004</v>
      </c>
      <c r="D101">
        <v>70.119</v>
      </c>
      <c r="E101">
        <v>539</v>
      </c>
      <c r="F101">
        <v>78.93408884943041</v>
      </c>
      <c r="G101">
        <v>1.4099999999999999</v>
      </c>
      <c r="H101">
        <v>1.358725</v>
      </c>
      <c r="I101">
        <f t="shared" si="6"/>
        <v>-0.051274999999999959</v>
      </c>
      <c r="J101">
        <f t="shared" si="7"/>
        <v>0.051274999999999959</v>
      </c>
    </row>
    <row r="102">
      <c r="A102" s="1" t="s">
        <v>96</v>
      </c>
    </row>
    <row r="103">
      <c r="A103">
        <v>1165</v>
      </c>
      <c r="B103">
        <v>2194301.5550000002</v>
      </c>
      <c r="C103">
        <v>6703230.4740000004</v>
      </c>
      <c r="D103">
        <v>74.475999999999999</v>
      </c>
      <c r="E103">
        <v>539</v>
      </c>
      <c r="F103">
        <v>3.7542840863491707</v>
      </c>
      <c r="G103">
        <v>0.97999999999999998</v>
      </c>
      <c r="H103">
        <v>1.587186</v>
      </c>
      <c r="I103">
        <f t="shared" si="6"/>
        <v>0.607186</v>
      </c>
      <c r="J103">
        <f t="shared" ref="J103:J112" si="8">ABS(I103)</f>
        <v>0.607186</v>
      </c>
    </row>
    <row r="104">
      <c r="A104">
        <v>1166</v>
      </c>
      <c r="B104">
        <v>2194310.1430000002</v>
      </c>
      <c r="C104">
        <v>6703229.3399999999</v>
      </c>
      <c r="D104">
        <v>74.168999999999997</v>
      </c>
      <c r="E104">
        <v>539</v>
      </c>
      <c r="F104">
        <v>12.416829901583949</v>
      </c>
      <c r="G104">
        <v>2.3100000000000001</v>
      </c>
      <c r="H104">
        <v>2.6581510000000002</v>
      </c>
      <c r="I104">
        <f t="shared" si="6"/>
        <v>0.3481510000000001</v>
      </c>
      <c r="J104">
        <f t="shared" si="8"/>
        <v>0.3481510000000001</v>
      </c>
    </row>
    <row r="105">
      <c r="A105">
        <v>1167</v>
      </c>
      <c r="B105">
        <v>2194318.8939999999</v>
      </c>
      <c r="C105">
        <v>6703229.3320000004</v>
      </c>
      <c r="D105">
        <v>73.760000000000005</v>
      </c>
      <c r="E105">
        <v>539</v>
      </c>
      <c r="F105">
        <v>21.167833558005878</v>
      </c>
      <c r="G105">
        <v>3.6699999999999999</v>
      </c>
      <c r="H105">
        <v>3.219328</v>
      </c>
      <c r="I105">
        <f t="shared" si="6"/>
        <v>-0.45067199999999996</v>
      </c>
      <c r="J105">
        <f t="shared" si="8"/>
        <v>0.45067199999999996</v>
      </c>
    </row>
    <row r="106">
      <c r="A106">
        <v>1168</v>
      </c>
      <c r="B106">
        <v>2194328.1719999998</v>
      </c>
      <c r="C106">
        <v>6703229.1710000001</v>
      </c>
      <c r="D106">
        <v>73.456999999999994</v>
      </c>
      <c r="E106">
        <v>539</v>
      </c>
      <c r="F106">
        <v>30.447230359461052</v>
      </c>
      <c r="G106">
        <v>2.8500000000000001</v>
      </c>
      <c r="H106">
        <v>3.6373920000000002</v>
      </c>
      <c r="I106">
        <f t="shared" si="6"/>
        <v>0.78739200000000009</v>
      </c>
      <c r="J106">
        <f t="shared" si="8"/>
        <v>0.78739200000000009</v>
      </c>
    </row>
    <row r="107">
      <c r="A107">
        <v>1169</v>
      </c>
      <c r="B107">
        <v>2194334.449</v>
      </c>
      <c r="C107">
        <v>6703229.051</v>
      </c>
      <c r="D107">
        <v>73.364999999999995</v>
      </c>
      <c r="E107">
        <v>539</v>
      </c>
      <c r="F107">
        <v>36.725377299679415</v>
      </c>
      <c r="G107">
        <v>4.9500000000000002</v>
      </c>
      <c r="H107">
        <v>3.790829</v>
      </c>
      <c r="I107">
        <f t="shared" si="6"/>
        <v>-1.1591710000000002</v>
      </c>
      <c r="J107">
        <f t="shared" si="8"/>
        <v>1.1591710000000002</v>
      </c>
    </row>
    <row r="108">
      <c r="A108">
        <v>1170</v>
      </c>
      <c r="B108">
        <v>2194343.8480000002</v>
      </c>
      <c r="C108">
        <v>6703228.7249999996</v>
      </c>
      <c r="D108">
        <v>73.125</v>
      </c>
      <c r="E108">
        <v>539</v>
      </c>
      <c r="F108">
        <v>46.13002918075135</v>
      </c>
      <c r="G108">
        <v>4.3700000000000001</v>
      </c>
      <c r="H108">
        <v>3.8580999999999999</v>
      </c>
      <c r="I108">
        <f t="shared" si="6"/>
        <v>-0.51190000000000024</v>
      </c>
      <c r="J108">
        <f t="shared" si="8"/>
        <v>0.51190000000000024</v>
      </c>
    </row>
    <row r="109">
      <c r="A109">
        <v>1171</v>
      </c>
      <c r="B109">
        <v>2194352.1919999998</v>
      </c>
      <c r="C109">
        <v>6703228.4009999996</v>
      </c>
      <c r="D109">
        <v>73.177999999999997</v>
      </c>
      <c r="E109">
        <v>539</v>
      </c>
      <c r="F109">
        <v>54.480317319068938</v>
      </c>
      <c r="G109">
        <v>4.9199999999999999</v>
      </c>
      <c r="H109">
        <v>3.6134810000000002</v>
      </c>
      <c r="I109">
        <f t="shared" si="6"/>
        <v>-1.3065189999999998</v>
      </c>
      <c r="J109">
        <f t="shared" si="8"/>
        <v>1.3065189999999998</v>
      </c>
    </row>
    <row r="110">
      <c r="A110">
        <v>1172</v>
      </c>
      <c r="B110">
        <v>2194361.6740000001</v>
      </c>
      <c r="C110">
        <v>6703227.0930000003</v>
      </c>
      <c r="D110">
        <v>73.593999999999994</v>
      </c>
      <c r="E110">
        <v>539</v>
      </c>
      <c r="F110">
        <v>64.052108583191554</v>
      </c>
      <c r="G110">
        <v>4.0999999999999996</v>
      </c>
      <c r="H110">
        <v>3.1150289999999998</v>
      </c>
      <c r="I110">
        <f t="shared" si="6"/>
        <v>-0.98497099999999982</v>
      </c>
      <c r="J110">
        <f t="shared" si="8"/>
        <v>0.98497099999999982</v>
      </c>
    </row>
    <row r="111">
      <c r="A111">
        <v>1173</v>
      </c>
      <c r="B111">
        <v>2194369.2560000001</v>
      </c>
      <c r="C111">
        <v>6703227.2769999998</v>
      </c>
      <c r="D111">
        <v>73.546000000000006</v>
      </c>
      <c r="E111">
        <v>539</v>
      </c>
      <c r="F111">
        <v>71.636340910779396</v>
      </c>
      <c r="G111">
        <v>3.5600000000000001</v>
      </c>
      <c r="H111">
        <v>2.629057</v>
      </c>
      <c r="I111">
        <f t="shared" si="6"/>
        <v>-0.93094300000000008</v>
      </c>
      <c r="J111">
        <f t="shared" si="8"/>
        <v>0.93094300000000008</v>
      </c>
    </row>
    <row r="112">
      <c r="A112">
        <v>1174</v>
      </c>
      <c r="B112">
        <v>2194381.3599999999</v>
      </c>
      <c r="C112">
        <v>6703225.4189999998</v>
      </c>
      <c r="D112">
        <v>74.629999999999995</v>
      </c>
      <c r="E112">
        <v>539</v>
      </c>
      <c r="F112">
        <v>83.882114875523669</v>
      </c>
      <c r="G112">
        <v>1.3799999999999999</v>
      </c>
      <c r="H112">
        <v>2.0405799999999998</v>
      </c>
      <c r="I112">
        <f t="shared" si="6"/>
        <v>0.66057999999999995</v>
      </c>
      <c r="J112">
        <f t="shared" si="8"/>
        <v>0.66057999999999995</v>
      </c>
    </row>
  </sheetData>
  <pageMargins left="0.69999999999999996" right="0.69999999999999996" top="0.75" bottom="0.75" header="0.29999999999999999" footer="0.29999999999999999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75" zoomScaleNormal="100" workbookViewId="0">
      <selection activeCell="Q9" sqref="Q9"/>
    </sheetView>
  </sheetViews>
  <sheetFormatPr defaultRowHeight="15"/>
  <cols>
    <col bestFit="1" customWidth="1" min="1" max="1" width="12.28515625"/>
    <col customWidth="1" min="6" max="6" width="17"/>
    <col customWidth="1" min="7" max="7" width="14.7109375"/>
    <col customWidth="1" min="8" max="8" width="16"/>
    <col customWidth="1" min="9" max="9" width="18.28515625"/>
    <col customWidth="1" min="11" max="11" width="16.140625"/>
    <col customWidth="1" min="12" max="12" width="13.7109375"/>
  </cols>
  <sheetData>
    <row r="1" s="4" customFormat="1" ht="30.75" customHeight="1">
      <c r="A1" s="4" t="s">
        <v>0</v>
      </c>
      <c r="B1" s="4" t="s">
        <v>1</v>
      </c>
      <c r="C1" s="4" t="s">
        <v>2</v>
      </c>
      <c r="D1" s="4" t="s">
        <v>66</v>
      </c>
      <c r="E1" s="4" t="s">
        <v>67</v>
      </c>
      <c r="F1" s="4" t="s">
        <v>68</v>
      </c>
      <c r="G1" s="4" t="s">
        <v>69</v>
      </c>
      <c r="H1" s="4" t="s">
        <v>3</v>
      </c>
      <c r="I1" s="4" t="s">
        <v>4</v>
      </c>
      <c r="J1" s="4" t="s">
        <v>5</v>
      </c>
      <c r="K1" s="4" t="s">
        <v>35</v>
      </c>
      <c r="L1" s="4" t="s">
        <v>98</v>
      </c>
    </row>
    <row r="2">
      <c r="A2" t="s">
        <v>9</v>
      </c>
      <c r="B2">
        <v>2204135.0860000001</v>
      </c>
      <c r="C2">
        <v>6720646.3300000001</v>
      </c>
      <c r="F2" s="2"/>
      <c r="G2" s="2"/>
      <c r="H2">
        <v>127.93899999999999</v>
      </c>
      <c r="I2" t="s">
        <v>6</v>
      </c>
      <c r="J2">
        <v>795</v>
      </c>
      <c r="L2" s="4"/>
    </row>
    <row r="3">
      <c r="A3" t="s">
        <v>10</v>
      </c>
      <c r="B3">
        <v>2203999.9750000001</v>
      </c>
      <c r="C3">
        <v>6720796.6909999996</v>
      </c>
      <c r="H3">
        <v>127.90300000000001</v>
      </c>
      <c r="I3" t="s">
        <v>6</v>
      </c>
      <c r="J3">
        <v>795</v>
      </c>
      <c r="L3" s="4"/>
    </row>
    <row r="4">
      <c r="A4">
        <v>1000</v>
      </c>
      <c r="B4">
        <v>2204126.0989999999</v>
      </c>
      <c r="C4">
        <v>6720658.3700000001</v>
      </c>
      <c r="D4">
        <f>B4-B2</f>
        <v>-8.9870000001974404</v>
      </c>
      <c r="E4">
        <f>C4-C2</f>
        <v>12.040000000037253</v>
      </c>
      <c r="F4">
        <f t="shared" ref="F4:F22" si="0">(D4^2+E4^2)^(0.5)</f>
        <v>15.024239381893709</v>
      </c>
      <c r="G4">
        <f>F4</f>
        <v>15.024239381893709</v>
      </c>
      <c r="H4">
        <v>127.3</v>
      </c>
      <c r="I4" t="s">
        <v>6</v>
      </c>
      <c r="J4">
        <v>795</v>
      </c>
      <c r="K4">
        <v>0.71999999999999997</v>
      </c>
      <c r="L4" s="34">
        <v>0.49212</v>
      </c>
    </row>
    <row r="5">
      <c r="A5">
        <v>1001</v>
      </c>
      <c r="B5">
        <v>2204119.3300000001</v>
      </c>
      <c r="C5">
        <v>6720666.676</v>
      </c>
      <c r="D5">
        <f t="shared" ref="D5:D22" si="1">B5-B4</f>
        <v>-6.7689999998547137</v>
      </c>
      <c r="E5">
        <f t="shared" ref="E5:E22" si="2">C5-C4</f>
        <v>8.3059999998658895</v>
      </c>
      <c r="F5">
        <f t="shared" si="0"/>
        <v>10.714896032897625</v>
      </c>
      <c r="G5">
        <f>SUM($F$3:F6)</f>
        <v>34.865283561907745</v>
      </c>
      <c r="H5">
        <v>127.28400000000001</v>
      </c>
      <c r="I5" t="s">
        <v>6</v>
      </c>
      <c r="J5">
        <v>795</v>
      </c>
      <c r="K5">
        <v>1.25</v>
      </c>
      <c r="L5" s="34">
        <v>0.72177600000000008</v>
      </c>
    </row>
    <row r="6">
      <c r="A6">
        <v>1002</v>
      </c>
      <c r="B6">
        <v>2204112.7119999998</v>
      </c>
      <c r="C6">
        <v>6720672.96</v>
      </c>
      <c r="D6">
        <f t="shared" si="1"/>
        <v>-6.6180000002495944</v>
      </c>
      <c r="E6">
        <f t="shared" si="2"/>
        <v>6.2839999999850988</v>
      </c>
      <c r="F6">
        <f t="shared" si="0"/>
        <v>9.1261481471164139</v>
      </c>
      <c r="G6">
        <f>SUM($F$4:F6)</f>
        <v>34.865283561907745</v>
      </c>
      <c r="H6">
        <v>126.76900000000001</v>
      </c>
      <c r="I6" t="s">
        <v>6</v>
      </c>
      <c r="J6">
        <v>795</v>
      </c>
      <c r="K6">
        <v>1.3500000000000001</v>
      </c>
      <c r="L6" s="34">
        <v>1.0826640000000001</v>
      </c>
    </row>
    <row r="7">
      <c r="A7">
        <v>1003</v>
      </c>
      <c r="B7">
        <v>2204105.5589999999</v>
      </c>
      <c r="C7">
        <v>6720680.3119999999</v>
      </c>
      <c r="D7">
        <f t="shared" si="1"/>
        <v>-7.1529999999329448</v>
      </c>
      <c r="E7">
        <f t="shared" si="2"/>
        <v>7.3519999999552965</v>
      </c>
      <c r="F7">
        <f t="shared" si="0"/>
        <v>10.257549073652214</v>
      </c>
      <c r="G7">
        <f>SUM($F$4:F7)</f>
        <v>45.122832635559959</v>
      </c>
      <c r="H7">
        <v>126.88500000000001</v>
      </c>
      <c r="I7" t="s">
        <v>6</v>
      </c>
      <c r="J7">
        <v>795</v>
      </c>
      <c r="K7">
        <v>1.71</v>
      </c>
    </row>
    <row r="8">
      <c r="A8">
        <v>1004</v>
      </c>
      <c r="B8">
        <v>2204099.7820000001</v>
      </c>
      <c r="C8">
        <v>6720687.574</v>
      </c>
      <c r="D8">
        <f t="shared" si="1"/>
        <v>-5.776999999769032</v>
      </c>
      <c r="E8">
        <f t="shared" si="2"/>
        <v>7.2620000001043081</v>
      </c>
      <c r="F8">
        <f t="shared" si="0"/>
        <v>9.2795675006352738</v>
      </c>
      <c r="G8">
        <f>SUM($F$4:F8)</f>
        <v>54.402400136195233</v>
      </c>
      <c r="H8">
        <v>126.786</v>
      </c>
      <c r="I8" t="s">
        <v>6</v>
      </c>
      <c r="J8">
        <v>795</v>
      </c>
      <c r="K8">
        <v>1.8</v>
      </c>
      <c r="L8" s="34">
        <v>1.1154720000000002</v>
      </c>
    </row>
    <row r="9">
      <c r="A9">
        <v>1005</v>
      </c>
      <c r="B9">
        <v>2204093.5690000001</v>
      </c>
      <c r="C9">
        <v>6720695.3130000001</v>
      </c>
      <c r="D9">
        <f t="shared" si="1"/>
        <v>-6.2129999999888241</v>
      </c>
      <c r="E9">
        <f t="shared" si="2"/>
        <v>7.7390000000596046</v>
      </c>
      <c r="F9">
        <f t="shared" si="0"/>
        <v>9.9243886461979951</v>
      </c>
      <c r="G9">
        <f>SUM($F$4:F9)</f>
        <v>64.326788782393223</v>
      </c>
      <c r="H9">
        <v>126.31399999999999</v>
      </c>
      <c r="I9" t="s">
        <v>6</v>
      </c>
      <c r="J9">
        <v>795</v>
      </c>
      <c r="K9">
        <v>2</v>
      </c>
      <c r="L9" s="34">
        <v>1.4763600000000001</v>
      </c>
    </row>
    <row r="10">
      <c r="A10">
        <v>1006</v>
      </c>
      <c r="B10">
        <v>2204087.3429999999</v>
      </c>
      <c r="C10">
        <v>6720702.3420000002</v>
      </c>
      <c r="D10">
        <f t="shared" si="1"/>
        <v>-6.226000000257045</v>
      </c>
      <c r="E10">
        <f t="shared" si="2"/>
        <v>7.0290000000968575</v>
      </c>
      <c r="F10">
        <f t="shared" si="0"/>
        <v>9.3898837588418704</v>
      </c>
      <c r="G10">
        <f>SUM($F$4:F10)</f>
        <v>73.716672541235098</v>
      </c>
      <c r="H10">
        <v>126.256</v>
      </c>
      <c r="I10" t="s">
        <v>6</v>
      </c>
      <c r="J10">
        <v>795</v>
      </c>
      <c r="K10">
        <v>1.97</v>
      </c>
      <c r="L10" s="34">
        <v>1.7060160000000002</v>
      </c>
    </row>
    <row r="11">
      <c r="A11">
        <v>1007</v>
      </c>
      <c r="B11">
        <v>2204081.27</v>
      </c>
      <c r="C11">
        <v>6720708.8480000002</v>
      </c>
      <c r="D11">
        <f t="shared" si="1"/>
        <v>-6.072999999858439</v>
      </c>
      <c r="E11">
        <f t="shared" si="2"/>
        <v>6.5060000000521541</v>
      </c>
      <c r="F11">
        <f t="shared" si="0"/>
        <v>8.8999643257127286</v>
      </c>
      <c r="G11">
        <f>SUM($F$4:F11)</f>
        <v>82.616636866947829</v>
      </c>
      <c r="H11">
        <v>126.21899999999999</v>
      </c>
      <c r="I11" t="s">
        <v>6</v>
      </c>
      <c r="J11">
        <v>795</v>
      </c>
      <c r="K11">
        <v>2.2000000000000002</v>
      </c>
      <c r="L11" s="34">
        <v>1.7060160000000002</v>
      </c>
    </row>
    <row r="12">
      <c r="A12">
        <v>1008</v>
      </c>
      <c r="B12">
        <v>2204075.449</v>
      </c>
      <c r="C12">
        <v>6720715.6050000004</v>
      </c>
      <c r="D12">
        <f t="shared" si="1"/>
        <v>-5.8209999999962747</v>
      </c>
      <c r="E12">
        <f t="shared" si="2"/>
        <v>6.7570000002160668</v>
      </c>
      <c r="F12">
        <f t="shared" si="0"/>
        <v>8.91858116534668</v>
      </c>
      <c r="G12">
        <f>SUM($F$4:F12)</f>
        <v>91.535218032294509</v>
      </c>
      <c r="H12">
        <v>126.057</v>
      </c>
      <c r="I12" t="s">
        <v>6</v>
      </c>
      <c r="J12">
        <v>795</v>
      </c>
      <c r="K12">
        <v>2.1499999999999999</v>
      </c>
      <c r="L12" s="34">
        <v>1.7</v>
      </c>
    </row>
    <row r="13">
      <c r="A13">
        <v>1009</v>
      </c>
      <c r="B13">
        <v>2204068.9380000001</v>
      </c>
      <c r="C13">
        <v>6720722.2529999996</v>
      </c>
      <c r="D13">
        <f t="shared" si="1"/>
        <v>-6.5109999999403954</v>
      </c>
      <c r="E13">
        <f t="shared" si="2"/>
        <v>6.6479999991133809</v>
      </c>
      <c r="F13">
        <f t="shared" si="0"/>
        <v>9.3053224010474427</v>
      </c>
      <c r="G13">
        <f>SUM($F$4:F13)</f>
        <v>100.84054043334196</v>
      </c>
      <c r="H13">
        <v>125.932</v>
      </c>
      <c r="I13" t="s">
        <v>6</v>
      </c>
      <c r="J13">
        <v>795</v>
      </c>
      <c r="K13">
        <v>2.3599999999999999</v>
      </c>
      <c r="L13" s="34">
        <v>2.0340959999999999</v>
      </c>
    </row>
    <row r="14">
      <c r="A14">
        <v>1010</v>
      </c>
      <c r="B14">
        <v>2204061.952</v>
      </c>
      <c r="C14">
        <v>6720728.8449999997</v>
      </c>
      <c r="D14">
        <f t="shared" si="1"/>
        <v>-6.9860000000335276</v>
      </c>
      <c r="E14">
        <f t="shared" si="2"/>
        <v>6.5920000001788139</v>
      </c>
      <c r="F14">
        <f t="shared" si="0"/>
        <v>9.6051371673092696</v>
      </c>
      <c r="G14">
        <f>SUM($F$4:F14)</f>
        <v>110.44567760065122</v>
      </c>
      <c r="H14">
        <v>125.73999999999999</v>
      </c>
      <c r="I14" t="s">
        <v>6</v>
      </c>
      <c r="J14">
        <v>795</v>
      </c>
      <c r="K14">
        <v>2.7400000000000002</v>
      </c>
      <c r="L14" s="34">
        <v>2.2000000000000002</v>
      </c>
    </row>
    <row r="15">
      <c r="A15">
        <v>1011</v>
      </c>
      <c r="B15">
        <v>2204055.9339999999</v>
      </c>
      <c r="C15">
        <v>6720736.2829999998</v>
      </c>
      <c r="D15">
        <f t="shared" si="1"/>
        <v>-6.0180000001564622</v>
      </c>
      <c r="E15">
        <f t="shared" si="2"/>
        <v>7.4380000000819564</v>
      </c>
      <c r="F15">
        <f t="shared" si="0"/>
        <v>9.5676626196319425</v>
      </c>
      <c r="G15">
        <f>SUM($F$4:F15)</f>
        <v>120.01334022028317</v>
      </c>
      <c r="H15">
        <v>125.64100000000001</v>
      </c>
      <c r="I15" t="s">
        <v>6</v>
      </c>
      <c r="J15">
        <v>795</v>
      </c>
      <c r="K15">
        <v>2.6899999999999999</v>
      </c>
      <c r="L15" s="34">
        <v>2.2965599999999999</v>
      </c>
    </row>
    <row r="16">
      <c r="A16">
        <v>1012</v>
      </c>
      <c r="B16">
        <v>2204049.2259999998</v>
      </c>
      <c r="C16">
        <v>6720742.79</v>
      </c>
      <c r="D16">
        <f t="shared" si="1"/>
        <v>-6.7080000001005828</v>
      </c>
      <c r="E16">
        <f t="shared" si="2"/>
        <v>6.5070000002160668</v>
      </c>
      <c r="F16">
        <f t="shared" si="0"/>
        <v>9.3454969372506511</v>
      </c>
      <c r="G16">
        <f>SUM($F$4:F16)</f>
        <v>129.35883715753383</v>
      </c>
      <c r="H16">
        <v>125.376</v>
      </c>
      <c r="I16" t="s">
        <v>6</v>
      </c>
      <c r="J16">
        <v>795</v>
      </c>
      <c r="K16">
        <v>2.6200000000000001</v>
      </c>
      <c r="L16" s="34">
        <v>2.5918320000000001</v>
      </c>
    </row>
    <row r="17">
      <c r="A17">
        <v>1013</v>
      </c>
      <c r="B17">
        <v>2204041.8870000001</v>
      </c>
      <c r="C17">
        <v>6720750.2460000003</v>
      </c>
      <c r="D17">
        <f t="shared" si="1"/>
        <v>-7.3389999996870756</v>
      </c>
      <c r="E17">
        <f t="shared" si="2"/>
        <v>7.4560000002384186</v>
      </c>
      <c r="F17">
        <f t="shared" si="0"/>
        <v>10.4619719460034</v>
      </c>
      <c r="G17">
        <f>SUM($F$4:F17)</f>
        <v>139.82080910353721</v>
      </c>
      <c r="H17">
        <v>125.154</v>
      </c>
      <c r="I17" t="s">
        <v>6</v>
      </c>
      <c r="J17">
        <v>795</v>
      </c>
      <c r="K17">
        <v>2.9500000000000002</v>
      </c>
      <c r="L17" s="34">
        <v>2.7558720000000001</v>
      </c>
    </row>
    <row r="18">
      <c r="A18">
        <v>1014</v>
      </c>
      <c r="B18">
        <v>2204034.375</v>
      </c>
      <c r="C18">
        <v>6720758.1550000003</v>
      </c>
      <c r="D18">
        <f t="shared" si="1"/>
        <v>-7.5120000001043081</v>
      </c>
      <c r="E18">
        <f t="shared" si="2"/>
        <v>7.9089999999850988</v>
      </c>
      <c r="F18">
        <f t="shared" si="0"/>
        <v>10.907906536147594</v>
      </c>
      <c r="G18">
        <f>SUM($F$4:F18)</f>
        <v>150.72871563968482</v>
      </c>
      <c r="H18">
        <v>125.13</v>
      </c>
      <c r="I18" t="s">
        <v>6</v>
      </c>
      <c r="J18">
        <v>795</v>
      </c>
      <c r="K18">
        <v>2.9100000000000001</v>
      </c>
      <c r="L18" s="34">
        <v>2.7000000000000002</v>
      </c>
    </row>
    <row r="19">
      <c r="A19">
        <v>1015</v>
      </c>
      <c r="B19">
        <v>2204026.858</v>
      </c>
      <c r="C19">
        <v>6720766.7659999998</v>
      </c>
      <c r="D19">
        <f t="shared" si="1"/>
        <v>-7.5169999999925494</v>
      </c>
      <c r="E19">
        <f t="shared" si="2"/>
        <v>8.6109999995678663</v>
      </c>
      <c r="F19">
        <f t="shared" si="0"/>
        <v>11.430424751182512</v>
      </c>
      <c r="G19">
        <f>SUM($F$4:F19)</f>
        <v>162.15914039086732</v>
      </c>
      <c r="H19">
        <v>125.53100000000001</v>
      </c>
      <c r="I19" t="s">
        <v>6</v>
      </c>
      <c r="J19">
        <v>795</v>
      </c>
      <c r="K19">
        <v>2.5299999999999998</v>
      </c>
      <c r="L19" s="34">
        <v>2.394984</v>
      </c>
    </row>
    <row r="20">
      <c r="A20">
        <v>1016</v>
      </c>
      <c r="B20">
        <v>2204021.014</v>
      </c>
      <c r="C20">
        <v>6720773.3260000004</v>
      </c>
      <c r="D20">
        <f t="shared" si="1"/>
        <v>-5.8440000000409782</v>
      </c>
      <c r="E20">
        <f t="shared" si="2"/>
        <v>6.5600000005215406</v>
      </c>
      <c r="F20">
        <f t="shared" si="0"/>
        <v>8.7855526865030846</v>
      </c>
      <c r="G20">
        <f>SUM($F$4:F20)</f>
        <v>170.9446930773704</v>
      </c>
      <c r="H20">
        <v>125.991</v>
      </c>
      <c r="I20" t="s">
        <v>6</v>
      </c>
      <c r="J20">
        <v>795</v>
      </c>
      <c r="K20">
        <v>1.98</v>
      </c>
      <c r="L20" s="34">
        <v>1.75</v>
      </c>
    </row>
    <row r="21">
      <c r="A21">
        <v>1017</v>
      </c>
      <c r="B21">
        <v>2204014.8640000001</v>
      </c>
      <c r="C21">
        <v>6720780.9560000002</v>
      </c>
      <c r="D21">
        <f t="shared" si="1"/>
        <v>-6.1499999999068677</v>
      </c>
      <c r="E21">
        <f t="shared" si="2"/>
        <v>7.6299999998882413</v>
      </c>
      <c r="F21">
        <f t="shared" si="0"/>
        <v>9.7999693875618323</v>
      </c>
      <c r="G21">
        <f>SUM($F$4:F21)</f>
        <v>180.74466246493225</v>
      </c>
      <c r="H21">
        <v>126.66</v>
      </c>
      <c r="I21" t="s">
        <v>6</v>
      </c>
      <c r="J21">
        <v>795</v>
      </c>
      <c r="K21">
        <v>1.1100000000000001</v>
      </c>
      <c r="L21" s="34">
        <v>1.1499999999999999</v>
      </c>
    </row>
    <row r="22">
      <c r="A22">
        <v>1018</v>
      </c>
      <c r="B22">
        <v>2204008.6639999999</v>
      </c>
      <c r="C22">
        <v>6720788.2889999999</v>
      </c>
      <c r="D22">
        <f t="shared" si="1"/>
        <v>-6.2000000001862645</v>
      </c>
      <c r="E22">
        <f t="shared" si="2"/>
        <v>7.3329999996349216</v>
      </c>
      <c r="F22">
        <f t="shared" si="0"/>
        <v>9.6027542401623212</v>
      </c>
      <c r="G22">
        <f>SUM($F$4:F22)</f>
        <v>190.34741670509456</v>
      </c>
      <c r="H22">
        <v>127.255</v>
      </c>
      <c r="I22" t="s">
        <v>6</v>
      </c>
      <c r="J22">
        <v>795</v>
      </c>
      <c r="K22">
        <v>0.46000000000000002</v>
      </c>
      <c r="L22" s="34">
        <v>0.62335200000000002</v>
      </c>
    </row>
    <row r="23">
      <c r="A23" t="s">
        <v>11</v>
      </c>
      <c r="B23">
        <v>2204478.1140000001</v>
      </c>
      <c r="C23">
        <v>6722001.6859999998</v>
      </c>
      <c r="H23">
        <v>131.554</v>
      </c>
      <c r="I23" t="s">
        <v>6</v>
      </c>
      <c r="J23">
        <v>795</v>
      </c>
      <c r="L23" s="34"/>
    </row>
    <row r="24">
      <c r="A24" t="s">
        <v>12</v>
      </c>
      <c r="B24">
        <v>2204555.0320000001</v>
      </c>
      <c r="C24">
        <v>6721994.4380000001</v>
      </c>
      <c r="H24">
        <v>131.49600000000001</v>
      </c>
      <c r="I24" t="s">
        <v>6</v>
      </c>
      <c r="J24">
        <v>795</v>
      </c>
      <c r="L24" s="34"/>
    </row>
    <row r="25">
      <c r="A25">
        <v>1019</v>
      </c>
      <c r="B25">
        <v>2204483.8590000002</v>
      </c>
      <c r="C25">
        <v>6722002.5580000002</v>
      </c>
      <c r="D25">
        <f>B25-B23</f>
        <v>5.7450000001117587</v>
      </c>
      <c r="E25">
        <f>C25-C23</f>
        <v>0.87200000043958426</v>
      </c>
      <c r="F25">
        <f t="shared" ref="F25:F33" si="3">(D25^2+E25^2)^(0.5)</f>
        <v>5.8108010637132246</v>
      </c>
      <c r="G25">
        <f>F25</f>
        <v>5.8108010637132246</v>
      </c>
      <c r="H25">
        <v>130.73099999999999</v>
      </c>
      <c r="I25" t="s">
        <v>6</v>
      </c>
      <c r="J25">
        <v>795</v>
      </c>
      <c r="K25">
        <v>0.84999999999999998</v>
      </c>
      <c r="L25" s="34">
        <v>0.59054399999999996</v>
      </c>
    </row>
    <row r="26">
      <c r="A26">
        <v>1020</v>
      </c>
      <c r="B26">
        <v>2204488.6639999999</v>
      </c>
      <c r="C26">
        <v>6722001.3959999997</v>
      </c>
      <c r="D26">
        <f t="shared" ref="D26:E33" si="4">B26-B25</f>
        <v>4.8049999997019768</v>
      </c>
      <c r="E26">
        <f t="shared" si="4"/>
        <v>-1.1620000004768372</v>
      </c>
      <c r="F26">
        <f t="shared" si="3"/>
        <v>4.9435077625350363</v>
      </c>
      <c r="G26">
        <f>SUM($F$22:F29)</f>
        <v>41.426008316299978</v>
      </c>
      <c r="H26">
        <v>130.41999999999999</v>
      </c>
      <c r="I26" t="s">
        <v>6</v>
      </c>
      <c r="J26">
        <v>795</v>
      </c>
      <c r="K26">
        <v>1.3799999999999999</v>
      </c>
      <c r="L26" s="34">
        <v>1.05</v>
      </c>
    </row>
    <row r="27">
      <c r="A27">
        <v>1021</v>
      </c>
      <c r="B27">
        <v>2204497.102</v>
      </c>
      <c r="C27">
        <v>6722000.2489999998</v>
      </c>
      <c r="D27">
        <f t="shared" si="4"/>
        <v>8.4380000000819564</v>
      </c>
      <c r="E27">
        <f t="shared" si="4"/>
        <v>-1.1469999998807907</v>
      </c>
      <c r="F27">
        <f t="shared" si="3"/>
        <v>8.5156005660851442</v>
      </c>
      <c r="G27">
        <f>SUM($F$23:F29)</f>
        <v>31.823254076137651</v>
      </c>
      <c r="H27">
        <v>130.19300000000001</v>
      </c>
      <c r="I27" t="s">
        <v>6</v>
      </c>
      <c r="J27">
        <v>795</v>
      </c>
      <c r="K27">
        <v>1.21</v>
      </c>
      <c r="L27" s="34">
        <v>1.410744</v>
      </c>
    </row>
    <row r="28">
      <c r="A28">
        <v>1022</v>
      </c>
      <c r="B28">
        <v>2204502.7689999999</v>
      </c>
      <c r="C28">
        <v>6721999.7609999999</v>
      </c>
      <c r="D28">
        <f t="shared" si="4"/>
        <v>5.6669999998994172</v>
      </c>
      <c r="E28">
        <f t="shared" si="4"/>
        <v>-0.48799999989569187</v>
      </c>
      <c r="F28">
        <f t="shared" si="3"/>
        <v>5.6879726615691633</v>
      </c>
      <c r="G28">
        <f>SUM($F$24:F29)</f>
        <v>31.823254076137651</v>
      </c>
      <c r="H28">
        <v>130.09700000000001</v>
      </c>
      <c r="I28" t="s">
        <v>6</v>
      </c>
      <c r="J28">
        <v>795</v>
      </c>
      <c r="K28">
        <v>1.49</v>
      </c>
      <c r="L28" s="34">
        <v>1.3999999999999999</v>
      </c>
    </row>
    <row r="29">
      <c r="A29">
        <v>1023</v>
      </c>
      <c r="B29">
        <v>2204509.5460000001</v>
      </c>
      <c r="C29">
        <v>6721998.6629999997</v>
      </c>
      <c r="D29">
        <f t="shared" si="4"/>
        <v>6.7770000002346933</v>
      </c>
      <c r="E29">
        <f t="shared" si="4"/>
        <v>-1.098000000230968</v>
      </c>
      <c r="F29">
        <f t="shared" si="3"/>
        <v>6.8653720222350838</v>
      </c>
      <c r="G29">
        <f>SUM($F$25:F29)</f>
        <v>31.823254076137651</v>
      </c>
      <c r="H29">
        <v>130.256</v>
      </c>
      <c r="I29" t="s">
        <v>6</v>
      </c>
      <c r="J29">
        <v>795</v>
      </c>
      <c r="K29">
        <v>1.25</v>
      </c>
      <c r="L29" s="34">
        <v>1.14828</v>
      </c>
    </row>
    <row r="30">
      <c r="A30">
        <v>1024</v>
      </c>
      <c r="B30">
        <v>2204516.3020000001</v>
      </c>
      <c r="C30">
        <v>6721997.4380000001</v>
      </c>
      <c r="D30">
        <f t="shared" si="4"/>
        <v>6.7560000000521541</v>
      </c>
      <c r="E30">
        <f t="shared" si="4"/>
        <v>-1.224999999627471</v>
      </c>
      <c r="F30">
        <f t="shared" si="3"/>
        <v>6.8661605719493641</v>
      </c>
      <c r="G30">
        <f>SUM($F$25:F30)</f>
        <v>38.689414648087016</v>
      </c>
      <c r="H30">
        <v>130.417</v>
      </c>
      <c r="I30" t="s">
        <v>6</v>
      </c>
      <c r="J30">
        <v>795</v>
      </c>
      <c r="K30">
        <v>1.1100000000000001</v>
      </c>
      <c r="L30" s="34">
        <v>1.1000000000000001</v>
      </c>
    </row>
    <row r="31">
      <c r="A31">
        <v>1025</v>
      </c>
      <c r="B31">
        <v>2204523.3769999999</v>
      </c>
      <c r="C31">
        <v>6721997.6320000002</v>
      </c>
      <c r="D31">
        <f t="shared" si="4"/>
        <v>7.0749999997206032</v>
      </c>
      <c r="E31">
        <f t="shared" si="4"/>
        <v>0.19400000013411045</v>
      </c>
      <c r="F31">
        <f t="shared" si="3"/>
        <v>7.0776592879354236</v>
      </c>
      <c r="G31">
        <f>SUM($F$25:F31)</f>
        <v>45.767073936022442</v>
      </c>
      <c r="H31">
        <v>130.53299999999999</v>
      </c>
      <c r="I31" t="s">
        <v>6</v>
      </c>
      <c r="J31">
        <v>795</v>
      </c>
      <c r="K31">
        <v>0.62</v>
      </c>
      <c r="L31" s="34">
        <v>0.95143199999999994</v>
      </c>
    </row>
    <row r="32">
      <c r="A32">
        <v>1026</v>
      </c>
      <c r="B32">
        <v>2204529.9199999999</v>
      </c>
      <c r="C32">
        <v>6721997.1730000004</v>
      </c>
      <c r="D32">
        <f t="shared" si="4"/>
        <v>6.5430000000633299</v>
      </c>
      <c r="E32">
        <f t="shared" si="4"/>
        <v>-0.45899999979883432</v>
      </c>
      <c r="F32">
        <f t="shared" si="3"/>
        <v>6.5590799660199348</v>
      </c>
      <c r="G32">
        <f>SUM($F$25:F32)</f>
        <v>52.326153902042378</v>
      </c>
      <c r="H32">
        <v>130.72800000000001</v>
      </c>
      <c r="I32" t="s">
        <v>6</v>
      </c>
      <c r="J32">
        <v>795</v>
      </c>
      <c r="K32">
        <v>0.46000000000000002</v>
      </c>
      <c r="L32" s="34">
        <v>0.65000000000000002</v>
      </c>
    </row>
    <row r="33">
      <c r="A33">
        <v>1027</v>
      </c>
      <c r="B33">
        <v>2204536.5690000001</v>
      </c>
      <c r="C33">
        <v>6721996.8859999999</v>
      </c>
      <c r="D33">
        <f t="shared" si="4"/>
        <v>6.6490000002086163</v>
      </c>
      <c r="E33">
        <f t="shared" si="4"/>
        <v>-0.28700000047683716</v>
      </c>
      <c r="F33">
        <f t="shared" si="3"/>
        <v>6.6551912070990022</v>
      </c>
      <c r="G33">
        <f>SUM($F$25:F33)</f>
        <v>58.98134510914138</v>
      </c>
      <c r="H33">
        <v>130.85499999999999</v>
      </c>
      <c r="I33" t="s">
        <v>6</v>
      </c>
      <c r="J33">
        <v>795</v>
      </c>
      <c r="K33">
        <v>0.20000000000000001</v>
      </c>
      <c r="L33" s="34">
        <v>0.49212</v>
      </c>
    </row>
    <row r="34">
      <c r="A34" t="s">
        <v>13</v>
      </c>
      <c r="B34">
        <v>2204841.1669999999</v>
      </c>
      <c r="C34">
        <v>6722393.6059999997</v>
      </c>
      <c r="H34">
        <v>131.114</v>
      </c>
      <c r="I34" t="s">
        <v>6</v>
      </c>
      <c r="J34">
        <v>795</v>
      </c>
      <c r="L34" s="34"/>
    </row>
    <row r="35">
      <c r="A35">
        <v>1028</v>
      </c>
      <c r="B35">
        <v>2204853.0520000001</v>
      </c>
      <c r="C35">
        <v>6722396.1169999996</v>
      </c>
      <c r="D35">
        <f t="shared" ref="D35:E38" si="5">B35-B34</f>
        <v>11.885000000242144</v>
      </c>
      <c r="E35">
        <f t="shared" si="5"/>
        <v>2.5109999999403954</v>
      </c>
      <c r="F35">
        <f>(D35^2+E35^2)^(0.5)</f>
        <v>12.147359631025024</v>
      </c>
      <c r="G35">
        <f>F35</f>
        <v>12.147359631025024</v>
      </c>
      <c r="H35">
        <v>130.029</v>
      </c>
      <c r="I35" t="s">
        <v>6</v>
      </c>
      <c r="J35">
        <v>795</v>
      </c>
      <c r="K35">
        <v>0.84999999999999998</v>
      </c>
      <c r="L35" s="34">
        <v>0.88581600000000005</v>
      </c>
    </row>
    <row r="36">
      <c r="A36">
        <v>1029</v>
      </c>
      <c r="B36">
        <v>2204858.0589999999</v>
      </c>
      <c r="C36">
        <v>6722397.4550000001</v>
      </c>
      <c r="D36">
        <f t="shared" si="5"/>
        <v>5.0069999997504056</v>
      </c>
      <c r="E36">
        <f t="shared" si="5"/>
        <v>1.3380000004544854</v>
      </c>
      <c r="F36">
        <f>(D36^2+E36^2)^(0.5)</f>
        <v>5.1826916750581216</v>
      </c>
      <c r="G36">
        <f>SUM($F$31:F40)</f>
        <v>58.800403283703325</v>
      </c>
      <c r="H36">
        <v>129.70400000000001</v>
      </c>
      <c r="I36" t="s">
        <v>6</v>
      </c>
      <c r="J36">
        <v>795</v>
      </c>
      <c r="K36">
        <v>1.3300000000000001</v>
      </c>
      <c r="L36" s="34">
        <v>1.1499999999999999</v>
      </c>
    </row>
    <row r="37">
      <c r="A37">
        <v>1030</v>
      </c>
      <c r="B37">
        <v>2204864.6150000002</v>
      </c>
      <c r="C37">
        <v>6722398.324</v>
      </c>
      <c r="D37">
        <f t="shared" si="5"/>
        <v>6.5560000003315508</v>
      </c>
      <c r="E37">
        <f t="shared" si="5"/>
        <v>0.86899999994784594</v>
      </c>
      <c r="F37">
        <f>(D37^2+E37^2)^(0.5)</f>
        <v>6.6133423474258954</v>
      </c>
      <c r="G37">
        <f>SUM($F$32:F40)</f>
        <v>51.722743995767907</v>
      </c>
      <c r="H37">
        <v>128.816</v>
      </c>
      <c r="I37" t="s">
        <v>6</v>
      </c>
      <c r="J37">
        <v>795</v>
      </c>
      <c r="K37">
        <v>2.2999999999999998</v>
      </c>
      <c r="L37" s="34">
        <v>2.1981360000000003</v>
      </c>
    </row>
    <row r="38">
      <c r="A38">
        <v>1032</v>
      </c>
      <c r="B38">
        <v>2204871.429</v>
      </c>
      <c r="C38">
        <v>6722399.2680000002</v>
      </c>
      <c r="D38">
        <f t="shared" si="5"/>
        <v>6.8139999997802079</v>
      </c>
      <c r="E38">
        <f t="shared" si="5"/>
        <v>0.94400000013411045</v>
      </c>
      <c r="F38">
        <f>(D38^2+E38^2)^(0.5)</f>
        <v>6.8790792986603861</v>
      </c>
      <c r="G38">
        <f>SUM($F$33:F40)</f>
        <v>45.16366402974797</v>
      </c>
      <c r="H38">
        <v>128.46899999999999</v>
      </c>
      <c r="I38" t="s">
        <v>6</v>
      </c>
      <c r="J38">
        <v>795</v>
      </c>
      <c r="K38">
        <v>3.3399999999999999</v>
      </c>
      <c r="L38" s="34">
        <v>2.7999999999999998</v>
      </c>
    </row>
    <row r="39">
      <c r="A39" t="s">
        <v>14</v>
      </c>
      <c r="B39">
        <v>2204792.8709999998</v>
      </c>
      <c r="C39">
        <v>6722568.9529999997</v>
      </c>
      <c r="H39">
        <v>132.72499999999999</v>
      </c>
      <c r="I39" t="s">
        <v>6</v>
      </c>
      <c r="J39">
        <v>795</v>
      </c>
      <c r="L39" s="34"/>
    </row>
    <row r="40">
      <c r="A40">
        <v>1033</v>
      </c>
      <c r="B40">
        <v>2204799.8760000002</v>
      </c>
      <c r="C40">
        <v>6722572.1160000004</v>
      </c>
      <c r="D40">
        <f t="shared" ref="D40:D54" si="6">B40-B39</f>
        <v>7.0050000003539026</v>
      </c>
      <c r="E40">
        <f t="shared" ref="E40:E54" si="7">C40-C39</f>
        <v>3.1630000006407499</v>
      </c>
      <c r="F40">
        <f t="shared" ref="F40:F54" si="8">(D40^2+E40^2)^(0.5)</f>
        <v>7.6859998704795434</v>
      </c>
      <c r="G40">
        <f>F40</f>
        <v>7.6859998704795434</v>
      </c>
      <c r="H40">
        <v>132.16999999999999</v>
      </c>
      <c r="I40" t="s">
        <v>6</v>
      </c>
      <c r="J40">
        <v>795</v>
      </c>
      <c r="K40">
        <v>1.05</v>
      </c>
      <c r="L40" s="34">
        <v>0.42650400000000005</v>
      </c>
    </row>
    <row r="41">
      <c r="A41">
        <v>1034</v>
      </c>
      <c r="B41">
        <v>2204806.7790000001</v>
      </c>
      <c r="C41">
        <v>6722573.102</v>
      </c>
      <c r="D41">
        <f t="shared" si="6"/>
        <v>6.9029999999329448</v>
      </c>
      <c r="E41">
        <f t="shared" si="7"/>
        <v>0.98599999956786633</v>
      </c>
      <c r="F41">
        <f t="shared" si="8"/>
        <v>6.9730628132996246</v>
      </c>
      <c r="G41">
        <f>SUM($F$35:F46)</f>
        <v>85.204871099729417</v>
      </c>
      <c r="H41">
        <v>131.62299999999999</v>
      </c>
      <c r="I41" t="s">
        <v>6</v>
      </c>
      <c r="J41">
        <v>795</v>
      </c>
      <c r="K41">
        <v>1.8200000000000001</v>
      </c>
      <c r="L41" s="34">
        <v>0.94999999999999996</v>
      </c>
    </row>
    <row r="42">
      <c r="A42">
        <v>1035</v>
      </c>
      <c r="B42">
        <v>2204813.4980000001</v>
      </c>
      <c r="C42">
        <v>6722574.4519999996</v>
      </c>
      <c r="D42">
        <f t="shared" si="6"/>
        <v>6.7190000000409782</v>
      </c>
      <c r="E42">
        <f t="shared" si="7"/>
        <v>1.349999999627471</v>
      </c>
      <c r="F42">
        <f t="shared" si="8"/>
        <v>6.8532810390020371</v>
      </c>
      <c r="G42">
        <f>SUM($F$36:F46)</f>
        <v>73.057511468704405</v>
      </c>
      <c r="H42">
        <v>131.47</v>
      </c>
      <c r="I42" t="s">
        <v>6</v>
      </c>
      <c r="J42">
        <v>795</v>
      </c>
      <c r="K42">
        <v>2.3999999999999999</v>
      </c>
      <c r="L42" s="34">
        <v>0.95143199999999994</v>
      </c>
    </row>
    <row r="43">
      <c r="A43">
        <v>1036</v>
      </c>
      <c r="B43">
        <v>2204821.3679999998</v>
      </c>
      <c r="C43">
        <v>6722577.0559999999</v>
      </c>
      <c r="D43">
        <f t="shared" si="6"/>
        <v>7.8699999996460974</v>
      </c>
      <c r="E43">
        <f t="shared" si="7"/>
        <v>2.6040000002831221</v>
      </c>
      <c r="F43">
        <f t="shared" si="8"/>
        <v>8.2896149485910424</v>
      </c>
      <c r="G43">
        <f>SUM($F$37:F46)</f>
        <v>67.874819793646282</v>
      </c>
      <c r="H43">
        <v>131.44399999999999</v>
      </c>
      <c r="I43" t="s">
        <v>6</v>
      </c>
      <c r="J43">
        <v>795</v>
      </c>
      <c r="K43">
        <v>1.8200000000000001</v>
      </c>
      <c r="L43" s="34">
        <v>1.05</v>
      </c>
    </row>
    <row r="44">
      <c r="A44">
        <v>1037</v>
      </c>
      <c r="B44">
        <v>2204830.4019999998</v>
      </c>
      <c r="C44">
        <v>6722579.3729999997</v>
      </c>
      <c r="D44">
        <f t="shared" si="6"/>
        <v>9.0339999999850988</v>
      </c>
      <c r="E44">
        <f t="shared" si="7"/>
        <v>2.3169999998062849</v>
      </c>
      <c r="F44">
        <f t="shared" si="8"/>
        <v>9.326395069845212</v>
      </c>
      <c r="G44">
        <f>SUM($F$38:F46)</f>
        <v>61.26147744622039</v>
      </c>
      <c r="H44">
        <v>131.17400000000001</v>
      </c>
      <c r="I44" t="s">
        <v>6</v>
      </c>
      <c r="J44">
        <v>795</v>
      </c>
      <c r="K44">
        <v>2.79</v>
      </c>
      <c r="L44" s="34">
        <v>1.3123200000000002</v>
      </c>
    </row>
    <row r="45">
      <c r="A45">
        <v>1038</v>
      </c>
      <c r="B45">
        <v>2204838.1899999999</v>
      </c>
      <c r="C45">
        <v>6722581.1660000002</v>
      </c>
      <c r="D45">
        <f t="shared" si="6"/>
        <v>7.7880000001750886</v>
      </c>
      <c r="E45">
        <f t="shared" si="7"/>
        <v>1.7930000005289912</v>
      </c>
      <c r="F45">
        <f t="shared" si="8"/>
        <v>7.9917327911175899</v>
      </c>
      <c r="G45">
        <f>SUM($F$39:F46)</f>
        <v>54.382398147560004</v>
      </c>
      <c r="H45">
        <v>131.02199999999999</v>
      </c>
      <c r="I45" t="s">
        <v>6</v>
      </c>
      <c r="J45">
        <v>795</v>
      </c>
      <c r="K45">
        <v>3.6600000000000001</v>
      </c>
      <c r="L45" s="34">
        <v>1.55</v>
      </c>
    </row>
    <row r="46">
      <c r="A46">
        <v>1039</v>
      </c>
      <c r="B46">
        <v>2204845.2429999998</v>
      </c>
      <c r="C46">
        <v>6722582.8969999999</v>
      </c>
      <c r="D46">
        <f t="shared" si="6"/>
        <v>7.0529999998398125</v>
      </c>
      <c r="E46">
        <f t="shared" si="7"/>
        <v>1.730999999679625</v>
      </c>
      <c r="F46">
        <f t="shared" si="8"/>
        <v>7.2623116152249523</v>
      </c>
      <c r="G46">
        <f>SUM($F$40:F46)</f>
        <v>54.382398147560004</v>
      </c>
      <c r="H46">
        <v>130.90700000000001</v>
      </c>
      <c r="I46" t="s">
        <v>6</v>
      </c>
      <c r="J46">
        <v>795</v>
      </c>
      <c r="K46">
        <v>4.1699999999999999</v>
      </c>
      <c r="L46" s="34">
        <v>1.574784</v>
      </c>
    </row>
    <row r="47">
      <c r="A47">
        <v>1040</v>
      </c>
      <c r="B47">
        <v>2204852.4840000002</v>
      </c>
      <c r="C47">
        <v>6722584.3300000001</v>
      </c>
      <c r="D47">
        <f t="shared" si="6"/>
        <v>7.2410000003874302</v>
      </c>
      <c r="E47">
        <f t="shared" si="7"/>
        <v>1.4330000001937151</v>
      </c>
      <c r="F47">
        <f t="shared" si="8"/>
        <v>7.3814341429132826</v>
      </c>
      <c r="G47">
        <f>SUM($F$40:F47)</f>
        <v>61.763832290473289</v>
      </c>
      <c r="H47">
        <v>130.55500000000001</v>
      </c>
      <c r="I47" t="s">
        <v>6</v>
      </c>
      <c r="J47">
        <v>795</v>
      </c>
      <c r="K47">
        <v>4.5300000000000002</v>
      </c>
      <c r="L47" s="34">
        <v>1.8999999999999999</v>
      </c>
    </row>
    <row r="48">
      <c r="A48">
        <v>1041</v>
      </c>
      <c r="B48">
        <v>2204861.602</v>
      </c>
      <c r="C48">
        <v>6722586.0259999996</v>
      </c>
      <c r="D48">
        <f t="shared" si="6"/>
        <v>9.1179999997839332</v>
      </c>
      <c r="E48">
        <f t="shared" si="7"/>
        <v>1.6959999995306134</v>
      </c>
      <c r="F48">
        <f t="shared" si="8"/>
        <v>9.2743916239539743</v>
      </c>
      <c r="G48">
        <f>SUM($F$40:F48)</f>
        <v>71.038223914427263</v>
      </c>
      <c r="H48">
        <v>130.37299999999999</v>
      </c>
      <c r="I48" t="s">
        <v>6</v>
      </c>
      <c r="J48">
        <v>795</v>
      </c>
      <c r="K48">
        <v>5.3099999999999996</v>
      </c>
      <c r="L48" s="34">
        <v>2.0340959999999999</v>
      </c>
    </row>
    <row r="49">
      <c r="A49">
        <v>1042</v>
      </c>
      <c r="B49">
        <v>2204867.73</v>
      </c>
      <c r="C49">
        <v>6722587.6160000004</v>
      </c>
      <c r="D49">
        <f t="shared" si="6"/>
        <v>6.128000000026077</v>
      </c>
      <c r="E49">
        <f t="shared" si="7"/>
        <v>1.590000000782311</v>
      </c>
      <c r="F49">
        <f t="shared" si="8"/>
        <v>6.330914941997511</v>
      </c>
      <c r="G49">
        <f>SUM($F$40:F49)</f>
        <v>77.369138856424769</v>
      </c>
      <c r="H49">
        <v>130.16800000000001</v>
      </c>
      <c r="I49" t="s">
        <v>6</v>
      </c>
      <c r="J49">
        <v>795</v>
      </c>
      <c r="K49">
        <v>4.5300000000000002</v>
      </c>
      <c r="L49" s="34">
        <v>2.3999999999999999</v>
      </c>
    </row>
    <row r="50">
      <c r="A50">
        <v>1043</v>
      </c>
      <c r="B50">
        <v>2204876.0800000001</v>
      </c>
      <c r="C50">
        <v>6722588.4340000004</v>
      </c>
      <c r="D50">
        <f t="shared" si="6"/>
        <v>8.3500000000931323</v>
      </c>
      <c r="E50">
        <f t="shared" si="7"/>
        <v>0.81799999997019768</v>
      </c>
      <c r="F50">
        <f t="shared" si="8"/>
        <v>8.3899716329381313</v>
      </c>
      <c r="G50">
        <f>SUM($F$40:F50)</f>
        <v>85.759110489362897</v>
      </c>
      <c r="H50">
        <v>130.52000000000001</v>
      </c>
      <c r="I50" t="s">
        <v>6</v>
      </c>
      <c r="J50">
        <v>795</v>
      </c>
      <c r="K50">
        <v>4.3300000000000001</v>
      </c>
      <c r="L50" s="34">
        <v>2.0340959999999999</v>
      </c>
    </row>
    <row r="51">
      <c r="A51">
        <v>1044</v>
      </c>
      <c r="B51">
        <v>2204881.4640000002</v>
      </c>
      <c r="C51">
        <v>6722590.2419999996</v>
      </c>
      <c r="D51">
        <f t="shared" si="6"/>
        <v>5.3840000000782311</v>
      </c>
      <c r="E51">
        <f t="shared" si="7"/>
        <v>1.8079999992623925</v>
      </c>
      <c r="F51">
        <f t="shared" si="8"/>
        <v>5.6794647633536028</v>
      </c>
      <c r="G51">
        <f>SUM($F$40:F51)</f>
        <v>91.438575252716504</v>
      </c>
      <c r="H51">
        <v>130.78800000000001</v>
      </c>
      <c r="I51" t="s">
        <v>6</v>
      </c>
      <c r="J51">
        <v>795</v>
      </c>
      <c r="K51">
        <v>3.9900000000000002</v>
      </c>
      <c r="L51" s="34">
        <v>1.8999999999999999</v>
      </c>
    </row>
    <row r="52">
      <c r="A52">
        <v>1045</v>
      </c>
      <c r="B52">
        <v>2204889.1400000001</v>
      </c>
      <c r="C52">
        <v>6722591.7539999997</v>
      </c>
      <c r="D52">
        <f t="shared" si="6"/>
        <v>7.6759999999776483</v>
      </c>
      <c r="E52">
        <f t="shared" si="7"/>
        <v>1.5120000001043081</v>
      </c>
      <c r="F52">
        <f t="shared" si="8"/>
        <v>7.8234979388999824</v>
      </c>
      <c r="G52">
        <f>SUM($F$40:F52)</f>
        <v>99.26207319161648</v>
      </c>
      <c r="H52">
        <v>130.67599999999999</v>
      </c>
      <c r="I52" t="s">
        <v>6</v>
      </c>
      <c r="J52">
        <v>795</v>
      </c>
      <c r="K52">
        <v>4.46</v>
      </c>
      <c r="L52" s="34">
        <v>1.7388240000000001</v>
      </c>
    </row>
    <row r="53">
      <c r="A53">
        <v>1046</v>
      </c>
      <c r="B53">
        <v>2204896.4879999999</v>
      </c>
      <c r="C53">
        <v>6722592.9199999999</v>
      </c>
      <c r="D53">
        <f t="shared" si="6"/>
        <v>7.3479999997653067</v>
      </c>
      <c r="E53">
        <f t="shared" si="7"/>
        <v>1.1660000002011657</v>
      </c>
      <c r="F53">
        <f t="shared" si="8"/>
        <v>7.4399368274885287</v>
      </c>
      <c r="G53">
        <f>SUM($F$40:F53)</f>
        <v>106.702010019105</v>
      </c>
      <c r="H53">
        <v>131.01300000000001</v>
      </c>
      <c r="I53" t="s">
        <v>6</v>
      </c>
      <c r="J53">
        <v>795</v>
      </c>
      <c r="K53">
        <v>3.3399999999999999</v>
      </c>
      <c r="L53" s="34">
        <v>1.5</v>
      </c>
    </row>
    <row r="54">
      <c r="A54">
        <v>1047</v>
      </c>
      <c r="B54">
        <v>2204903.3250000002</v>
      </c>
      <c r="C54">
        <v>6722594.2690000003</v>
      </c>
      <c r="D54">
        <f t="shared" si="6"/>
        <v>6.8370000002905726</v>
      </c>
      <c r="E54">
        <f t="shared" si="7"/>
        <v>1.3490000003948808</v>
      </c>
      <c r="F54">
        <f t="shared" si="8"/>
        <v>6.9688141032057009</v>
      </c>
      <c r="G54">
        <f>SUM($F$40:F54)</f>
        <v>113.67082412231071</v>
      </c>
      <c r="H54">
        <v>131.38</v>
      </c>
      <c r="I54" t="s">
        <v>6</v>
      </c>
      <c r="J54">
        <v>795</v>
      </c>
      <c r="K54">
        <v>0.84999999999999998</v>
      </c>
      <c r="L54" s="34">
        <v>0.8530080000000001</v>
      </c>
    </row>
    <row r="55">
      <c r="A55" t="s">
        <v>15</v>
      </c>
      <c r="B55">
        <v>2208226.4530000002</v>
      </c>
      <c r="C55">
        <v>6731081.8849999998</v>
      </c>
      <c r="H55">
        <v>150.505</v>
      </c>
      <c r="I55" t="s">
        <v>6</v>
      </c>
      <c r="J55">
        <v>795</v>
      </c>
      <c r="L55" s="34"/>
    </row>
    <row r="56">
      <c r="A56" t="s">
        <v>16</v>
      </c>
      <c r="B56">
        <v>2208050.75</v>
      </c>
      <c r="C56">
        <v>6731148.727</v>
      </c>
      <c r="H56">
        <v>150.51599999999999</v>
      </c>
      <c r="I56" t="s">
        <v>6</v>
      </c>
      <c r="J56">
        <v>795</v>
      </c>
      <c r="L56" s="34"/>
    </row>
    <row r="57">
      <c r="A57">
        <v>1048</v>
      </c>
      <c r="B57">
        <v>2208209.5819999999</v>
      </c>
      <c r="C57">
        <v>6731085.8789999997</v>
      </c>
      <c r="D57">
        <f>B57-B55</f>
        <v>-16.871000000275671</v>
      </c>
      <c r="E57">
        <f>C57-C55</f>
        <v>3.9939999999478459</v>
      </c>
      <c r="F57">
        <f t="shared" ref="F57:F70" si="9">(D57^2+E57^2)^(0.5)</f>
        <v>17.337320352605968</v>
      </c>
      <c r="G57">
        <f>F57</f>
        <v>17.337320352605968</v>
      </c>
      <c r="H57">
        <v>149.827</v>
      </c>
      <c r="I57" t="s">
        <v>6</v>
      </c>
      <c r="J57">
        <v>795</v>
      </c>
      <c r="K57">
        <v>0</v>
      </c>
      <c r="L57" s="34">
        <v>0.39369599999999999</v>
      </c>
    </row>
    <row r="58">
      <c r="A58">
        <v>1049</v>
      </c>
      <c r="B58">
        <v>2208197.8080000002</v>
      </c>
      <c r="C58">
        <v>6731089.5530000003</v>
      </c>
      <c r="D58">
        <f t="shared" ref="D58:D70" si="10">B58-B57</f>
        <v>-11.773999999742955</v>
      </c>
      <c r="E58">
        <f t="shared" ref="E58:E70" si="11">C58-C57</f>
        <v>3.6740000005811453</v>
      </c>
      <c r="F58">
        <f t="shared" si="9"/>
        <v>12.333910653082313</v>
      </c>
      <c r="G58">
        <f>SUM($F$50:F65)</f>
        <v>152.79174850998203</v>
      </c>
      <c r="H58">
        <v>149.54300000000001</v>
      </c>
      <c r="I58" t="s">
        <v>6</v>
      </c>
      <c r="J58">
        <v>795</v>
      </c>
      <c r="K58">
        <v>0.56000000000000005</v>
      </c>
      <c r="L58" s="34">
        <v>0.42650400000000005</v>
      </c>
    </row>
    <row r="59">
      <c r="A59">
        <v>1050</v>
      </c>
      <c r="B59">
        <v>2208186.3930000002</v>
      </c>
      <c r="C59">
        <v>6731094.8030000003</v>
      </c>
      <c r="D59">
        <f t="shared" si="10"/>
        <v>-11.415000000037253</v>
      </c>
      <c r="E59">
        <f t="shared" si="11"/>
        <v>5.25</v>
      </c>
      <c r="F59">
        <f t="shared" si="9"/>
        <v>12.564422987182917</v>
      </c>
      <c r="G59">
        <f>SUM($F$51:F65)</f>
        <v>144.40177687704389</v>
      </c>
      <c r="H59">
        <v>149.47200000000001</v>
      </c>
      <c r="I59" t="s">
        <v>6</v>
      </c>
      <c r="J59">
        <v>795</v>
      </c>
      <c r="K59">
        <v>1.1100000000000001</v>
      </c>
      <c r="L59" s="34">
        <v>0.84999999999999998</v>
      </c>
    </row>
    <row r="60">
      <c r="A60">
        <v>1051</v>
      </c>
      <c r="B60">
        <v>2208176.2549999999</v>
      </c>
      <c r="C60">
        <v>6731097.7010000004</v>
      </c>
      <c r="D60">
        <f t="shared" si="10"/>
        <v>-10.138000000268221</v>
      </c>
      <c r="E60">
        <f t="shared" si="11"/>
        <v>2.8980000000447035</v>
      </c>
      <c r="F60">
        <f t="shared" si="9"/>
        <v>10.544071699571164</v>
      </c>
      <c r="G60">
        <f>SUM($F$52:F65)</f>
        <v>138.72231211369026</v>
      </c>
      <c r="H60">
        <v>149.167</v>
      </c>
      <c r="I60" t="s">
        <v>6</v>
      </c>
      <c r="J60">
        <v>795</v>
      </c>
      <c r="K60">
        <v>1.8700000000000001</v>
      </c>
      <c r="L60" s="34">
        <v>1.246704</v>
      </c>
    </row>
    <row r="61">
      <c r="A61">
        <v>1052</v>
      </c>
      <c r="B61">
        <v>2208164.148</v>
      </c>
      <c r="C61">
        <v>6731104.1430000002</v>
      </c>
      <c r="D61">
        <f t="shared" si="10"/>
        <v>-12.106999999843538</v>
      </c>
      <c r="E61">
        <f t="shared" si="11"/>
        <v>6.4419999998062849</v>
      </c>
      <c r="F61">
        <f t="shared" si="9"/>
        <v>13.714182913820116</v>
      </c>
      <c r="G61">
        <f>SUM($F$53:F65)</f>
        <v>130.89881417479029</v>
      </c>
      <c r="H61">
        <v>148.71299999999999</v>
      </c>
      <c r="I61" t="s">
        <v>6</v>
      </c>
      <c r="J61">
        <v>795</v>
      </c>
      <c r="K61">
        <v>2.5299999999999998</v>
      </c>
      <c r="L61" s="34">
        <v>1.6499999999999999</v>
      </c>
    </row>
    <row r="62">
      <c r="A62">
        <v>1053</v>
      </c>
      <c r="B62">
        <v>2208151.1719999998</v>
      </c>
      <c r="C62">
        <v>6731110.4019999998</v>
      </c>
      <c r="D62">
        <f t="shared" si="10"/>
        <v>-12.976000000257045</v>
      </c>
      <c r="E62">
        <f t="shared" si="11"/>
        <v>6.2589999996125698</v>
      </c>
      <c r="F62">
        <f t="shared" si="9"/>
        <v>14.406653220016819</v>
      </c>
      <c r="G62">
        <f>SUM($F$54:F65)</f>
        <v>123.45887734730177</v>
      </c>
      <c r="H62">
        <v>148.363</v>
      </c>
      <c r="I62" t="s">
        <v>6</v>
      </c>
      <c r="J62">
        <v>795</v>
      </c>
      <c r="K62">
        <v>3.1200000000000001</v>
      </c>
      <c r="L62" s="34">
        <v>2.13252</v>
      </c>
    </row>
    <row r="63">
      <c r="A63">
        <v>1054</v>
      </c>
      <c r="B63">
        <v>2208140.6340000001</v>
      </c>
      <c r="C63">
        <v>6731114.5039999997</v>
      </c>
      <c r="D63">
        <f t="shared" si="10"/>
        <v>-10.537999999709427</v>
      </c>
      <c r="E63">
        <f t="shared" si="11"/>
        <v>4.1019999999552965</v>
      </c>
      <c r="F63">
        <f t="shared" si="9"/>
        <v>11.308220372521451</v>
      </c>
      <c r="G63">
        <f>SUM($F$55:F65)</f>
        <v>116.49006324409606</v>
      </c>
      <c r="H63">
        <v>148.072</v>
      </c>
      <c r="I63" t="s">
        <v>6</v>
      </c>
      <c r="J63">
        <v>795</v>
      </c>
      <c r="K63">
        <v>3.1200000000000001</v>
      </c>
      <c r="L63" s="34">
        <v>2.1499999999999999</v>
      </c>
    </row>
    <row r="64">
      <c r="A64">
        <v>1055</v>
      </c>
      <c r="B64">
        <v>2208129.6349999998</v>
      </c>
      <c r="C64">
        <v>6731119.8370000003</v>
      </c>
      <c r="D64">
        <f t="shared" si="10"/>
        <v>-10.999000000301749</v>
      </c>
      <c r="E64">
        <f t="shared" si="11"/>
        <v>5.3330000005662441</v>
      </c>
      <c r="F64">
        <f t="shared" si="9"/>
        <v>12.223701976597654</v>
      </c>
      <c r="G64">
        <f>SUM($F$56:F65)</f>
        <v>116.49006324409606</v>
      </c>
      <c r="H64">
        <v>148.197</v>
      </c>
      <c r="I64" t="s">
        <v>6</v>
      </c>
      <c r="J64">
        <v>795</v>
      </c>
      <c r="K64">
        <v>3.6400000000000001</v>
      </c>
      <c r="L64" s="34">
        <v>2.2309440000000005</v>
      </c>
    </row>
    <row r="65">
      <c r="A65">
        <v>1056</v>
      </c>
      <c r="B65">
        <v>2208118.7769999998</v>
      </c>
      <c r="C65">
        <v>6731125.0800000001</v>
      </c>
      <c r="D65">
        <f t="shared" si="10"/>
        <v>-10.858000000007451</v>
      </c>
      <c r="E65">
        <f t="shared" si="11"/>
        <v>5.2429999997839332</v>
      </c>
      <c r="F65">
        <f t="shared" si="9"/>
        <v>12.057579068697668</v>
      </c>
      <c r="G65">
        <f>SUM($F$57:F65)</f>
        <v>116.49006324409606</v>
      </c>
      <c r="H65">
        <v>148.029</v>
      </c>
      <c r="I65" t="s">
        <v>6</v>
      </c>
      <c r="J65">
        <v>795</v>
      </c>
      <c r="K65">
        <v>2.5800000000000001</v>
      </c>
      <c r="L65" s="34">
        <v>2.3999999999999999</v>
      </c>
    </row>
    <row r="66">
      <c r="A66">
        <v>1057</v>
      </c>
      <c r="B66">
        <v>2208106.466</v>
      </c>
      <c r="C66">
        <v>6731129.6119999997</v>
      </c>
      <c r="D66">
        <f t="shared" si="10"/>
        <v>-12.310999999754131</v>
      </c>
      <c r="E66">
        <f t="shared" si="11"/>
        <v>4.5319999996572733</v>
      </c>
      <c r="F66">
        <f t="shared" si="9"/>
        <v>13.118679239574377</v>
      </c>
      <c r="G66">
        <f>SUM($F$57:F66)</f>
        <v>129.60874248367043</v>
      </c>
      <c r="H66">
        <v>147.98099999999999</v>
      </c>
      <c r="I66" t="s">
        <v>6</v>
      </c>
      <c r="J66">
        <v>795</v>
      </c>
      <c r="K66">
        <v>3.77</v>
      </c>
      <c r="L66" s="34">
        <v>2.2965599999999999</v>
      </c>
    </row>
    <row r="67">
      <c r="A67">
        <v>1058</v>
      </c>
      <c r="B67">
        <v>2208092.9419999998</v>
      </c>
      <c r="C67">
        <v>6731136.6799999997</v>
      </c>
      <c r="D67">
        <f t="shared" si="10"/>
        <v>-13.524000000208616</v>
      </c>
      <c r="E67">
        <f t="shared" si="11"/>
        <v>7.0679999999701977</v>
      </c>
      <c r="F67">
        <f t="shared" si="9"/>
        <v>15.25959370380553</v>
      </c>
      <c r="G67">
        <f>SUM($F$57:F67)</f>
        <v>144.86833618747596</v>
      </c>
      <c r="H67">
        <v>147.83699999999999</v>
      </c>
      <c r="I67" t="s">
        <v>6</v>
      </c>
      <c r="J67">
        <v>795</v>
      </c>
      <c r="K67">
        <v>2.4199999999999999</v>
      </c>
      <c r="L67" s="34">
        <v>2.5499999999999998</v>
      </c>
    </row>
    <row r="68">
      <c r="A68">
        <v>1059</v>
      </c>
      <c r="B68">
        <v>2208081.4219999998</v>
      </c>
      <c r="C68">
        <v>6731138.9440000001</v>
      </c>
      <c r="D68">
        <f t="shared" si="10"/>
        <v>-11.520000000018626</v>
      </c>
      <c r="E68">
        <f t="shared" si="11"/>
        <v>2.2640000004321337</v>
      </c>
      <c r="F68">
        <f t="shared" si="9"/>
        <v>11.740361834389342</v>
      </c>
      <c r="G68">
        <f>SUM($F$57:F68)</f>
        <v>156.60869802186531</v>
      </c>
      <c r="H68">
        <v>148.071</v>
      </c>
      <c r="I68" t="s">
        <v>6</v>
      </c>
      <c r="J68">
        <v>795</v>
      </c>
      <c r="K68">
        <v>2.23</v>
      </c>
      <c r="L68" s="34">
        <v>2.13252</v>
      </c>
    </row>
    <row r="69">
      <c r="A69">
        <v>1060</v>
      </c>
      <c r="B69">
        <v>2208068.6519999998</v>
      </c>
      <c r="C69">
        <v>6731143.1449999996</v>
      </c>
      <c r="D69">
        <f t="shared" si="10"/>
        <v>-12.770000000018626</v>
      </c>
      <c r="E69">
        <f t="shared" si="11"/>
        <v>4.2009999994188547</v>
      </c>
      <c r="F69">
        <f t="shared" si="9"/>
        <v>13.443262289920291</v>
      </c>
      <c r="G69">
        <f>SUM($F$57:F69)</f>
        <v>170.05196031178559</v>
      </c>
      <c r="H69">
        <v>148.446</v>
      </c>
      <c r="I69" t="s">
        <v>6</v>
      </c>
      <c r="J69">
        <v>795</v>
      </c>
      <c r="K69">
        <v>1.71</v>
      </c>
      <c r="L69" s="34">
        <v>1.75</v>
      </c>
    </row>
    <row r="70">
      <c r="A70">
        <v>1061</v>
      </c>
      <c r="B70">
        <v>2208057.4900000002</v>
      </c>
      <c r="C70">
        <v>6731145.9029999999</v>
      </c>
      <c r="D70">
        <f t="shared" si="10"/>
        <v>-11.161999999545515</v>
      </c>
      <c r="E70">
        <f t="shared" si="11"/>
        <v>2.7580000003799796</v>
      </c>
      <c r="F70">
        <f t="shared" si="9"/>
        <v>11.497687071404842</v>
      </c>
      <c r="G70">
        <f>SUM($F$57:F70)</f>
        <v>181.54964738319043</v>
      </c>
      <c r="H70">
        <v>149.215</v>
      </c>
      <c r="I70" t="s">
        <v>6</v>
      </c>
      <c r="J70">
        <v>795</v>
      </c>
      <c r="K70">
        <v>0.97999999999999998</v>
      </c>
      <c r="L70" s="34">
        <v>1.2795120000000002</v>
      </c>
    </row>
    <row r="71">
      <c r="A71" t="s">
        <v>17</v>
      </c>
      <c r="B71">
        <v>2208487</v>
      </c>
      <c r="C71">
        <v>6732153.6310000001</v>
      </c>
      <c r="H71">
        <v>152.095</v>
      </c>
      <c r="I71" t="s">
        <v>6</v>
      </c>
      <c r="J71">
        <v>795</v>
      </c>
      <c r="L71" s="34"/>
    </row>
    <row r="72">
      <c r="A72">
        <v>1062</v>
      </c>
      <c r="B72">
        <v>2208497.594</v>
      </c>
      <c r="C72">
        <v>6732151.6979999999</v>
      </c>
      <c r="D72">
        <f t="shared" ref="D72:E77" si="12">B72-B71</f>
        <v>10.594000000040978</v>
      </c>
      <c r="E72">
        <f t="shared" si="12"/>
        <v>-1.9330000001937151</v>
      </c>
      <c r="F72">
        <f t="shared" ref="F72:F77" si="13">(D72^2+E72^2)^(0.5)</f>
        <v>10.7689054690631</v>
      </c>
      <c r="G72">
        <f>F72</f>
        <v>10.7689054690631</v>
      </c>
      <c r="H72">
        <v>151.54400000000001</v>
      </c>
      <c r="I72" t="s">
        <v>6</v>
      </c>
      <c r="J72">
        <v>795</v>
      </c>
      <c r="K72">
        <v>0.81999999999999995</v>
      </c>
      <c r="L72" s="34">
        <v>0.52492800000000006</v>
      </c>
    </row>
    <row r="73">
      <c r="A73">
        <v>1063</v>
      </c>
      <c r="B73">
        <v>2208512.145</v>
      </c>
      <c r="C73">
        <v>6732150.0889999997</v>
      </c>
      <c r="D73">
        <f t="shared" si="12"/>
        <v>14.550999999977648</v>
      </c>
      <c r="E73">
        <f t="shared" si="12"/>
        <v>-1.6090000001713634</v>
      </c>
      <c r="F73">
        <f t="shared" si="13"/>
        <v>14.639688589580755</v>
      </c>
      <c r="G73">
        <f>SUM($F$64:F81)</f>
        <v>191.52919943253508</v>
      </c>
      <c r="H73">
        <v>150.34200000000001</v>
      </c>
      <c r="I73" t="s">
        <v>6</v>
      </c>
      <c r="J73">
        <v>795</v>
      </c>
      <c r="K73">
        <v>1.76</v>
      </c>
      <c r="L73" s="34">
        <v>1.7</v>
      </c>
    </row>
    <row r="74">
      <c r="A74">
        <v>1064</v>
      </c>
      <c r="B74">
        <v>2208525.253</v>
      </c>
      <c r="C74">
        <v>6732148.1529999999</v>
      </c>
      <c r="D74">
        <f t="shared" si="12"/>
        <v>13.108000000007451</v>
      </c>
      <c r="E74">
        <f t="shared" si="12"/>
        <v>-1.9359999997541308</v>
      </c>
      <c r="F74">
        <f t="shared" si="13"/>
        <v>13.250198489050771</v>
      </c>
      <c r="G74">
        <f>SUM($F$65:F81)</f>
        <v>179.30549745593743</v>
      </c>
      <c r="H74">
        <v>150.64500000000001</v>
      </c>
      <c r="I74" t="s">
        <v>6</v>
      </c>
      <c r="J74">
        <v>795</v>
      </c>
      <c r="K74">
        <v>3.1200000000000001</v>
      </c>
      <c r="L74" s="34">
        <v>1.3123200000000002</v>
      </c>
    </row>
    <row r="75">
      <c r="A75">
        <v>1065</v>
      </c>
      <c r="B75">
        <v>2208536.727</v>
      </c>
      <c r="C75">
        <v>6732149.1179999998</v>
      </c>
      <c r="D75">
        <f t="shared" si="12"/>
        <v>11.473999999929219</v>
      </c>
      <c r="E75">
        <f t="shared" si="12"/>
        <v>0.96499999985098839</v>
      </c>
      <c r="F75">
        <f t="shared" si="13"/>
        <v>11.514508282948437</v>
      </c>
      <c r="G75">
        <f>SUM($F$66:F81)</f>
        <v>167.24791838723976</v>
      </c>
      <c r="H75">
        <v>150.80500000000001</v>
      </c>
      <c r="I75" t="s">
        <v>6</v>
      </c>
      <c r="J75">
        <v>795</v>
      </c>
      <c r="K75">
        <v>2.79</v>
      </c>
      <c r="L75" s="34">
        <v>1.0826640000000001</v>
      </c>
    </row>
    <row r="76">
      <c r="A76">
        <v>1066</v>
      </c>
      <c r="B76">
        <v>2208548.1880000001</v>
      </c>
      <c r="C76">
        <v>6732147.5640000002</v>
      </c>
      <c r="D76">
        <f t="shared" si="12"/>
        <v>11.46100000012666</v>
      </c>
      <c r="E76">
        <f t="shared" si="12"/>
        <v>-1.553999999538064</v>
      </c>
      <c r="F76">
        <f t="shared" si="13"/>
        <v>11.56587381054573</v>
      </c>
      <c r="G76">
        <f>SUM($F$67:F81)</f>
        <v>154.12923914766537</v>
      </c>
      <c r="H76">
        <v>150.74100000000001</v>
      </c>
      <c r="I76" t="s">
        <v>6</v>
      </c>
      <c r="J76">
        <v>795</v>
      </c>
      <c r="K76">
        <v>2.6899999999999999</v>
      </c>
      <c r="L76" s="34">
        <v>1.2138960000000001</v>
      </c>
    </row>
    <row r="77">
      <c r="A77">
        <v>1067</v>
      </c>
      <c r="B77">
        <v>2208560.963</v>
      </c>
      <c r="C77">
        <v>6732145.2970000003</v>
      </c>
      <c r="D77">
        <f t="shared" si="12"/>
        <v>12.774999999906868</v>
      </c>
      <c r="E77">
        <f t="shared" si="12"/>
        <v>-2.2669999999925494</v>
      </c>
      <c r="F77">
        <f t="shared" si="13"/>
        <v>12.97458723804294</v>
      </c>
      <c r="G77">
        <f>SUM($F$68:F81)</f>
        <v>138.86964544385984</v>
      </c>
      <c r="H77">
        <v>150.80600000000001</v>
      </c>
      <c r="I77" t="s">
        <v>6</v>
      </c>
      <c r="J77">
        <v>795</v>
      </c>
      <c r="K77">
        <v>2.4199999999999999</v>
      </c>
      <c r="L77" s="34">
        <v>1.1499999999999999</v>
      </c>
    </row>
    <row r="78">
      <c r="A78" t="s">
        <v>18</v>
      </c>
      <c r="B78">
        <v>2207836.3250000002</v>
      </c>
      <c r="C78">
        <v>6730533.3200000003</v>
      </c>
      <c r="H78">
        <v>149.04900000000001</v>
      </c>
      <c r="I78" t="s">
        <v>6</v>
      </c>
      <c r="J78">
        <v>795</v>
      </c>
      <c r="L78" s="34"/>
    </row>
    <row r="79">
      <c r="A79">
        <v>1068</v>
      </c>
      <c r="B79">
        <v>2207844.2220000001</v>
      </c>
      <c r="C79">
        <v>6730533.284</v>
      </c>
      <c r="D79">
        <f t="shared" ref="D79:D94" si="14">B79-B78</f>
        <v>7.8969999998807907</v>
      </c>
      <c r="E79">
        <f t="shared" ref="E79:E94" si="15">C79-C78</f>
        <v>-0.036000000312924385</v>
      </c>
      <c r="F79">
        <f t="shared" ref="F79:F94" si="16">(D79^2+E79^2)^(0.5)</f>
        <v>7.8970820559330477</v>
      </c>
      <c r="G79">
        <f>F79</f>
        <v>7.8970820559330477</v>
      </c>
      <c r="H79">
        <v>148.59100000000001</v>
      </c>
      <c r="I79" t="s">
        <v>6</v>
      </c>
      <c r="J79">
        <v>795</v>
      </c>
      <c r="K79">
        <v>0.92000000000000004</v>
      </c>
      <c r="L79" s="34">
        <v>0.45931200000000005</v>
      </c>
    </row>
    <row r="80">
      <c r="A80">
        <v>1069</v>
      </c>
      <c r="B80">
        <v>2207852.96</v>
      </c>
      <c r="C80">
        <v>6730531.3329999996</v>
      </c>
      <c r="D80">
        <f t="shared" si="14"/>
        <v>8.7379999998956919</v>
      </c>
      <c r="E80">
        <f t="shared" si="15"/>
        <v>-1.9510000003501773</v>
      </c>
      <c r="F80">
        <f t="shared" si="16"/>
        <v>8.9531583812386284</v>
      </c>
      <c r="G80">
        <f>SUM($F$70:F89)</f>
        <v>212.57647052195236</v>
      </c>
      <c r="H80">
        <v>148.08099999999999</v>
      </c>
      <c r="I80" t="s">
        <v>6</v>
      </c>
      <c r="J80">
        <v>795</v>
      </c>
      <c r="K80">
        <v>1.0800000000000001</v>
      </c>
      <c r="L80" s="34">
        <v>0.95143199999999994</v>
      </c>
    </row>
    <row r="81">
      <c r="A81">
        <v>1070</v>
      </c>
      <c r="B81">
        <v>2207863.2349999999</v>
      </c>
      <c r="C81">
        <v>6730528.6310000001</v>
      </c>
      <c r="D81">
        <f t="shared" si="14"/>
        <v>10.274999999906868</v>
      </c>
      <c r="E81">
        <f t="shared" si="15"/>
        <v>-2.7019999995827675</v>
      </c>
      <c r="F81">
        <f t="shared" si="16"/>
        <v>10.624331931741938</v>
      </c>
      <c r="G81">
        <f>SUM($F$71:F89)</f>
        <v>201.07878345054752</v>
      </c>
      <c r="H81">
        <v>147.74000000000001</v>
      </c>
      <c r="I81" t="s">
        <v>6</v>
      </c>
      <c r="J81">
        <v>795</v>
      </c>
      <c r="K81">
        <v>1.55</v>
      </c>
      <c r="L81" s="34">
        <v>1.1000000000000001</v>
      </c>
    </row>
    <row r="82">
      <c r="A82">
        <v>1071</v>
      </c>
      <c r="B82">
        <v>2207873.2889999999</v>
      </c>
      <c r="C82">
        <v>6730526.1780000003</v>
      </c>
      <c r="D82">
        <f t="shared" si="14"/>
        <v>10.054000000003725</v>
      </c>
      <c r="E82">
        <f t="shared" si="15"/>
        <v>-2.4529999997466803</v>
      </c>
      <c r="F82">
        <f t="shared" si="16"/>
        <v>10.348919025619638</v>
      </c>
      <c r="G82">
        <f>SUM($F$72:F89)</f>
        <v>201.07878345054752</v>
      </c>
      <c r="H82">
        <v>147.18000000000001</v>
      </c>
      <c r="I82" t="s">
        <v>6</v>
      </c>
      <c r="J82">
        <v>795</v>
      </c>
      <c r="K82">
        <v>1.6699999999999999</v>
      </c>
      <c r="L82" s="34">
        <v>1.673208</v>
      </c>
    </row>
    <row r="83">
      <c r="A83">
        <v>1072</v>
      </c>
      <c r="B83">
        <v>2207886.2969999998</v>
      </c>
      <c r="C83">
        <v>6730522.9539999999</v>
      </c>
      <c r="D83">
        <f t="shared" si="14"/>
        <v>13.007999999914318</v>
      </c>
      <c r="E83">
        <f t="shared" si="15"/>
        <v>-3.2240000003948808</v>
      </c>
      <c r="F83">
        <f t="shared" si="16"/>
        <v>13.401576026733464</v>
      </c>
      <c r="G83">
        <f>SUM($F$73:F89)</f>
        <v>190.30987798148442</v>
      </c>
      <c r="H83">
        <v>147.113</v>
      </c>
      <c r="I83" t="s">
        <v>6</v>
      </c>
      <c r="J83">
        <v>795</v>
      </c>
      <c r="K83">
        <v>1.55</v>
      </c>
      <c r="L83" s="34">
        <v>1.8999999999999999</v>
      </c>
    </row>
    <row r="84">
      <c r="A84">
        <v>1073</v>
      </c>
      <c r="B84">
        <v>2207898.1540000001</v>
      </c>
      <c r="C84">
        <v>6730519.8099999996</v>
      </c>
      <c r="D84">
        <f t="shared" si="14"/>
        <v>11.857000000309199</v>
      </c>
      <c r="E84">
        <f t="shared" si="15"/>
        <v>-3.144000000320375</v>
      </c>
      <c r="F84">
        <f t="shared" si="16"/>
        <v>12.266751200270871</v>
      </c>
      <c r="G84">
        <f>SUM($F$74:F89)</f>
        <v>175.67018939190368</v>
      </c>
      <c r="H84">
        <v>146.953</v>
      </c>
      <c r="I84" t="s">
        <v>6</v>
      </c>
      <c r="J84">
        <v>795</v>
      </c>
      <c r="K84">
        <v>2.5600000000000001</v>
      </c>
      <c r="L84" s="34">
        <v>2.0012880000000002</v>
      </c>
    </row>
    <row r="85">
      <c r="A85">
        <v>1074</v>
      </c>
      <c r="B85">
        <v>2207909.1499999999</v>
      </c>
      <c r="C85">
        <v>6730516.4900000002</v>
      </c>
      <c r="D85">
        <f t="shared" si="14"/>
        <v>10.99599999981001</v>
      </c>
      <c r="E85">
        <f t="shared" si="15"/>
        <v>-3.3199999993667006</v>
      </c>
      <c r="F85">
        <f t="shared" si="16"/>
        <v>11.486270760852568</v>
      </c>
      <c r="G85">
        <f>SUM($F$75:F89)</f>
        <v>162.41999090285293</v>
      </c>
      <c r="H85">
        <v>146.87100000000001</v>
      </c>
      <c r="I85" t="s">
        <v>6</v>
      </c>
      <c r="J85">
        <v>795</v>
      </c>
      <c r="K85">
        <v>3.1200000000000001</v>
      </c>
      <c r="L85" s="34">
        <v>2.1499999999999999</v>
      </c>
    </row>
    <row r="86">
      <c r="A86">
        <v>1075</v>
      </c>
      <c r="B86">
        <v>2207921.2620000001</v>
      </c>
      <c r="C86">
        <v>6730514.227</v>
      </c>
      <c r="D86">
        <f t="shared" si="14"/>
        <v>12.11200000019744</v>
      </c>
      <c r="E86">
        <f t="shared" si="15"/>
        <v>-2.2630000002682209</v>
      </c>
      <c r="F86">
        <f t="shared" si="16"/>
        <v>12.321595392074711</v>
      </c>
      <c r="G86">
        <f>SUM($F$76:F89)</f>
        <v>150.90548261990449</v>
      </c>
      <c r="H86">
        <v>146.81100000000001</v>
      </c>
      <c r="I86" t="s">
        <v>6</v>
      </c>
      <c r="J86">
        <v>795</v>
      </c>
      <c r="K86">
        <v>3.3100000000000001</v>
      </c>
      <c r="L86" s="34">
        <v>2.1981360000000003</v>
      </c>
    </row>
    <row r="87">
      <c r="A87">
        <v>1076</v>
      </c>
      <c r="B87">
        <v>2207935.8760000002</v>
      </c>
      <c r="C87">
        <v>6730511.4239999996</v>
      </c>
      <c r="D87">
        <f t="shared" si="14"/>
        <v>14.614000000059605</v>
      </c>
      <c r="E87">
        <f t="shared" si="15"/>
        <v>-2.8030000003054738</v>
      </c>
      <c r="F87">
        <f t="shared" si="16"/>
        <v>14.880383227708036</v>
      </c>
      <c r="G87">
        <f>SUM($F$77:F89)</f>
        <v>139.33960880935877</v>
      </c>
      <c r="H87">
        <v>146.65799999999999</v>
      </c>
      <c r="I87" t="s">
        <v>6</v>
      </c>
      <c r="J87">
        <v>795</v>
      </c>
      <c r="K87">
        <v>3.8799999999999999</v>
      </c>
      <c r="L87" s="34">
        <v>2.4500000000000002</v>
      </c>
    </row>
    <row r="88">
      <c r="A88">
        <v>1077</v>
      </c>
      <c r="B88">
        <v>2207948.5690000001</v>
      </c>
      <c r="C88">
        <v>6730507.6440000003</v>
      </c>
      <c r="D88">
        <f t="shared" si="14"/>
        <v>12.692999999970198</v>
      </c>
      <c r="E88">
        <f t="shared" si="15"/>
        <v>-3.7799999993294477</v>
      </c>
      <c r="F88">
        <f t="shared" si="16"/>
        <v>13.24389100658013</v>
      </c>
      <c r="G88">
        <f>SUM($F$78:F89)</f>
        <v>126.36502157131582</v>
      </c>
      <c r="H88">
        <v>147.065</v>
      </c>
      <c r="I88" t="s">
        <v>6</v>
      </c>
      <c r="J88">
        <v>795</v>
      </c>
      <c r="K88">
        <v>3.5800000000000001</v>
      </c>
      <c r="L88" s="34">
        <v>2.1653280000000001</v>
      </c>
    </row>
    <row r="89">
      <c r="A89">
        <v>1078</v>
      </c>
      <c r="B89">
        <v>2207959.0619999999</v>
      </c>
      <c r="C89">
        <v>6730504.5449999999</v>
      </c>
      <c r="D89">
        <f t="shared" si="14"/>
        <v>10.492999999783933</v>
      </c>
      <c r="E89">
        <f t="shared" si="15"/>
        <v>-3.0990000003948808</v>
      </c>
      <c r="F89">
        <f t="shared" si="16"/>
        <v>10.941062562562792</v>
      </c>
      <c r="G89">
        <f>SUM($F$79:F89)</f>
        <v>126.36502157131582</v>
      </c>
      <c r="H89">
        <v>146.964</v>
      </c>
      <c r="I89" t="s">
        <v>6</v>
      </c>
      <c r="J89">
        <v>795</v>
      </c>
      <c r="K89">
        <v>3.5600000000000001</v>
      </c>
      <c r="L89" s="34">
        <v>1.95</v>
      </c>
    </row>
    <row r="90">
      <c r="A90">
        <v>1079</v>
      </c>
      <c r="B90">
        <v>2207971.247</v>
      </c>
      <c r="C90">
        <v>6730502.1270000003</v>
      </c>
      <c r="D90">
        <f t="shared" si="14"/>
        <v>12.185000000055879</v>
      </c>
      <c r="E90">
        <f t="shared" si="15"/>
        <v>-2.4179999995976686</v>
      </c>
      <c r="F90">
        <f t="shared" si="16"/>
        <v>12.422598319168825</v>
      </c>
      <c r="G90">
        <f>SUM($F$79:F90)</f>
        <v>138.78761989048465</v>
      </c>
      <c r="H90">
        <v>147.393</v>
      </c>
      <c r="I90" t="s">
        <v>6</v>
      </c>
      <c r="J90">
        <v>795</v>
      </c>
      <c r="K90">
        <v>2.7599999999999998</v>
      </c>
      <c r="L90" s="34">
        <v>1.541976</v>
      </c>
    </row>
    <row r="91">
      <c r="A91">
        <v>1080</v>
      </c>
      <c r="B91">
        <v>2207986.4589999998</v>
      </c>
      <c r="C91">
        <v>6730498.517</v>
      </c>
      <c r="D91">
        <f t="shared" si="14"/>
        <v>15.211999999824911</v>
      </c>
      <c r="E91">
        <f t="shared" si="15"/>
        <v>-3.6100000003352761</v>
      </c>
      <c r="F91">
        <f t="shared" si="16"/>
        <v>15.63448253051868</v>
      </c>
      <c r="G91">
        <f>SUM($F$79:F91)</f>
        <v>154.42210242100333</v>
      </c>
      <c r="H91">
        <v>147.476</v>
      </c>
      <c r="I91" t="s">
        <v>6</v>
      </c>
      <c r="J91">
        <v>795</v>
      </c>
      <c r="K91">
        <v>1.4399999999999999</v>
      </c>
      <c r="L91" s="34">
        <v>1.3500000000000001</v>
      </c>
    </row>
    <row r="92">
      <c r="A92">
        <v>1081</v>
      </c>
      <c r="B92">
        <v>2207999.2749999999</v>
      </c>
      <c r="C92">
        <v>6730495.2079999996</v>
      </c>
      <c r="D92">
        <f t="shared" si="14"/>
        <v>12.816000000108033</v>
      </c>
      <c r="E92">
        <f t="shared" si="15"/>
        <v>-3.3090000003576279</v>
      </c>
      <c r="F92">
        <f t="shared" si="16"/>
        <v>13.236288641652383</v>
      </c>
      <c r="G92">
        <f>SUM($F$79:F92)</f>
        <v>167.65839106265571</v>
      </c>
      <c r="H92">
        <v>147.78200000000001</v>
      </c>
      <c r="I92" t="s">
        <v>6</v>
      </c>
      <c r="J92">
        <v>795</v>
      </c>
      <c r="K92">
        <v>0.39000000000000001</v>
      </c>
      <c r="L92" s="34">
        <v>0.88581600000000005</v>
      </c>
    </row>
    <row r="93">
      <c r="A93">
        <v>1082</v>
      </c>
      <c r="B93">
        <v>2208011.3810000001</v>
      </c>
      <c r="C93">
        <v>6730491.3629999999</v>
      </c>
      <c r="D93">
        <f t="shared" si="14"/>
        <v>12.106000000145286</v>
      </c>
      <c r="E93">
        <f t="shared" si="15"/>
        <v>-3.8449999997392297</v>
      </c>
      <c r="F93">
        <f t="shared" si="16"/>
        <v>12.701939261447928</v>
      </c>
      <c r="G93">
        <f>SUM($F$79:F93)</f>
        <v>180.36033032410364</v>
      </c>
      <c r="H93">
        <v>147.83500000000001</v>
      </c>
      <c r="I93" t="s">
        <v>6</v>
      </c>
      <c r="J93">
        <v>795</v>
      </c>
      <c r="K93">
        <v>0.17999999999999999</v>
      </c>
      <c r="L93" s="34">
        <v>1.05</v>
      </c>
    </row>
    <row r="94">
      <c r="A94">
        <v>1083</v>
      </c>
      <c r="B94">
        <v>2208022.0159999998</v>
      </c>
      <c r="C94">
        <v>6730488.7019999996</v>
      </c>
      <c r="D94">
        <f t="shared" si="14"/>
        <v>10.634999999776483</v>
      </c>
      <c r="E94">
        <f t="shared" si="15"/>
        <v>-2.6610000003129244</v>
      </c>
      <c r="F94">
        <f t="shared" si="16"/>
        <v>10.962853004437813</v>
      </c>
      <c r="G94">
        <f>SUM($F$79:F94)</f>
        <v>191.32318332854146</v>
      </c>
      <c r="H94">
        <v>147.596</v>
      </c>
      <c r="I94" t="s">
        <v>6</v>
      </c>
      <c r="J94">
        <v>795</v>
      </c>
      <c r="K94">
        <v>0.10000000000000001</v>
      </c>
      <c r="L94" s="34">
        <v>1.410744</v>
      </c>
    </row>
    <row r="95">
      <c r="A95" t="s">
        <v>19</v>
      </c>
      <c r="B95">
        <v>2202396.4399999999</v>
      </c>
      <c r="C95">
        <v>6718946.0379999997</v>
      </c>
      <c r="H95">
        <v>109.062</v>
      </c>
      <c r="I95" t="s">
        <v>7</v>
      </c>
      <c r="J95">
        <v>539</v>
      </c>
      <c r="L95" s="34"/>
    </row>
    <row r="96">
      <c r="A96" t="s">
        <v>20</v>
      </c>
      <c r="B96">
        <v>2202309.5359999998</v>
      </c>
      <c r="C96">
        <v>6719043.3279999997</v>
      </c>
      <c r="H96">
        <v>109.095</v>
      </c>
      <c r="I96" t="s">
        <v>7</v>
      </c>
      <c r="J96">
        <v>539</v>
      </c>
      <c r="L96" s="34"/>
    </row>
    <row r="97">
      <c r="A97">
        <v>1084</v>
      </c>
      <c r="B97">
        <v>2202392.3769999999</v>
      </c>
      <c r="C97">
        <v>6718948.432</v>
      </c>
      <c r="D97">
        <f>B97-B95</f>
        <v>-4.0630000000819564</v>
      </c>
      <c r="E97">
        <f>C97-C95</f>
        <v>2.394000000320375</v>
      </c>
      <c r="F97">
        <f t="shared" ref="F97:F109" si="17">(D97^2+E97^2)^(0.5)</f>
        <v>4.7158461597257313</v>
      </c>
      <c r="G97">
        <f>F97</f>
        <v>4.7158461597257313</v>
      </c>
      <c r="H97">
        <v>108.044</v>
      </c>
      <c r="I97" t="s">
        <v>7</v>
      </c>
      <c r="J97">
        <v>539</v>
      </c>
      <c r="K97">
        <v>0.75</v>
      </c>
      <c r="L97" s="34">
        <v>0.91862400000000011</v>
      </c>
    </row>
    <row r="98">
      <c r="A98">
        <v>1085</v>
      </c>
      <c r="B98">
        <v>2202386.7170000002</v>
      </c>
      <c r="C98">
        <v>6718955.3770000003</v>
      </c>
      <c r="D98">
        <f t="shared" ref="D98:D109" si="18">B98-B97</f>
        <v>-5.6599999996833503</v>
      </c>
      <c r="E98">
        <f t="shared" ref="E98:E109" si="19">C98-C97</f>
        <v>6.9450000002980232</v>
      </c>
      <c r="F98">
        <f t="shared" si="17"/>
        <v>8.959275919434285</v>
      </c>
      <c r="G98">
        <f>SUM($F$86:F109)</f>
        <v>234.79695704985338</v>
      </c>
      <c r="H98">
        <v>107.562</v>
      </c>
      <c r="I98" t="s">
        <v>7</v>
      </c>
      <c r="J98">
        <v>539</v>
      </c>
      <c r="K98">
        <v>3.8799999999999999</v>
      </c>
      <c r="L98" s="34">
        <v>1.6000000000000001</v>
      </c>
    </row>
    <row r="99">
      <c r="A99">
        <v>1086</v>
      </c>
      <c r="B99">
        <v>2202383.1579999998</v>
      </c>
      <c r="C99">
        <v>6718962.0089999996</v>
      </c>
      <c r="D99">
        <f t="shared" si="18"/>
        <v>-3.5590000003576279</v>
      </c>
      <c r="E99">
        <f t="shared" si="19"/>
        <v>6.6319999992847443</v>
      </c>
      <c r="F99">
        <f t="shared" si="17"/>
        <v>7.5266131156754987</v>
      </c>
      <c r="G99">
        <f>SUM($F$87:F109)</f>
        <v>222.47536165777862</v>
      </c>
      <c r="H99">
        <v>106.89</v>
      </c>
      <c r="I99" t="s">
        <v>7</v>
      </c>
      <c r="J99">
        <v>539</v>
      </c>
      <c r="K99">
        <v>4.4900000000000002</v>
      </c>
      <c r="L99" s="34">
        <v>2.0997120000000002</v>
      </c>
    </row>
    <row r="100">
      <c r="A100">
        <v>1087</v>
      </c>
      <c r="B100">
        <v>2202378.5819999999</v>
      </c>
      <c r="C100">
        <v>6718969.1610000003</v>
      </c>
      <c r="D100">
        <f t="shared" si="18"/>
        <v>-4.575999999884516</v>
      </c>
      <c r="E100">
        <f t="shared" si="19"/>
        <v>7.1520000007003546</v>
      </c>
      <c r="F100">
        <f t="shared" si="17"/>
        <v>8.4906348413390713</v>
      </c>
      <c r="G100">
        <f>SUM($F$88:F109)</f>
        <v>207.5949784300706</v>
      </c>
      <c r="H100">
        <v>106.843</v>
      </c>
      <c r="I100" t="s">
        <v>7</v>
      </c>
      <c r="J100">
        <v>539</v>
      </c>
      <c r="K100">
        <v>4.04</v>
      </c>
      <c r="L100" s="34">
        <v>1.5</v>
      </c>
    </row>
    <row r="101">
      <c r="A101">
        <v>1088</v>
      </c>
      <c r="B101">
        <v>2202373.1260000002</v>
      </c>
      <c r="C101">
        <v>6718977.568</v>
      </c>
      <c r="D101">
        <f t="shared" si="18"/>
        <v>-5.4559999997727573</v>
      </c>
      <c r="E101">
        <f t="shared" si="19"/>
        <v>8.4069999996572733</v>
      </c>
      <c r="F101">
        <f t="shared" si="17"/>
        <v>10.022254486479463</v>
      </c>
      <c r="G101">
        <f>SUM($F$89:F109)</f>
        <v>194.3510874234905</v>
      </c>
      <c r="H101">
        <v>107.124</v>
      </c>
      <c r="I101" t="s">
        <v>7</v>
      </c>
      <c r="J101">
        <v>539</v>
      </c>
      <c r="K101">
        <v>4.4800000000000004</v>
      </c>
      <c r="L101" s="34">
        <v>2</v>
      </c>
    </row>
    <row r="102">
      <c r="A102">
        <v>1089</v>
      </c>
      <c r="B102">
        <v>2202367.2239999999</v>
      </c>
      <c r="C102">
        <v>6718985.5410000002</v>
      </c>
      <c r="D102">
        <f t="shared" si="18"/>
        <v>-5.9020000002346933</v>
      </c>
      <c r="E102">
        <f t="shared" si="19"/>
        <v>7.973000000230968</v>
      </c>
      <c r="F102">
        <f t="shared" si="17"/>
        <v>9.9197950082878901</v>
      </c>
      <c r="G102">
        <f>SUM($F$90:F109)</f>
        <v>183.41002486092773</v>
      </c>
      <c r="H102">
        <v>108.384</v>
      </c>
      <c r="I102" t="s">
        <v>7</v>
      </c>
      <c r="J102">
        <v>539</v>
      </c>
      <c r="K102">
        <v>3.5099999999999998</v>
      </c>
      <c r="L102" s="34">
        <v>0.75458400000000003</v>
      </c>
    </row>
    <row r="103">
      <c r="A103">
        <v>1090</v>
      </c>
      <c r="B103">
        <v>2202360.861</v>
      </c>
      <c r="C103">
        <v>6718992.6279999996</v>
      </c>
      <c r="D103">
        <f t="shared" si="18"/>
        <v>-6.3629999998956919</v>
      </c>
      <c r="E103">
        <f t="shared" si="19"/>
        <v>7.0869999993592501</v>
      </c>
      <c r="F103">
        <f t="shared" si="17"/>
        <v>9.5243549907377236</v>
      </c>
      <c r="G103">
        <f>SUM($F$91:F109)</f>
        <v>170.98742654175888</v>
      </c>
      <c r="H103">
        <v>107.854</v>
      </c>
      <c r="I103" t="s">
        <v>7</v>
      </c>
      <c r="J103">
        <v>539</v>
      </c>
      <c r="K103">
        <v>0.89000000000000001</v>
      </c>
      <c r="L103" s="34">
        <v>0.91862400000000011</v>
      </c>
    </row>
    <row r="104">
      <c r="A104">
        <v>1091</v>
      </c>
      <c r="B104">
        <v>2202353.551</v>
      </c>
      <c r="C104">
        <v>6718999.5580000002</v>
      </c>
      <c r="D104">
        <f t="shared" si="18"/>
        <v>-7.3100000000558794</v>
      </c>
      <c r="E104">
        <f t="shared" si="19"/>
        <v>6.9300000006332994</v>
      </c>
      <c r="F104">
        <f t="shared" si="17"/>
        <v>10.072785116818212</v>
      </c>
      <c r="G104">
        <f>SUM($F$92:F109)</f>
        <v>155.3529440112402</v>
      </c>
      <c r="H104">
        <v>106.851</v>
      </c>
      <c r="I104" t="s">
        <v>7</v>
      </c>
      <c r="J104">
        <v>539</v>
      </c>
      <c r="K104">
        <v>3.8300000000000001</v>
      </c>
      <c r="L104" s="34">
        <v>1.8</v>
      </c>
    </row>
    <row r="105">
      <c r="A105">
        <v>1092</v>
      </c>
      <c r="B105">
        <v>2202346.8130000001</v>
      </c>
      <c r="C105">
        <v>6719005.0820000004</v>
      </c>
      <c r="D105">
        <f t="shared" si="18"/>
        <v>-6.7379999998956919</v>
      </c>
      <c r="E105">
        <f t="shared" si="19"/>
        <v>5.5240000002086163</v>
      </c>
      <c r="F105">
        <f t="shared" si="17"/>
        <v>8.7129340638443438</v>
      </c>
      <c r="G105">
        <f>SUM($F$93:F109)</f>
        <v>142.11665536958782</v>
      </c>
      <c r="H105">
        <v>107.006</v>
      </c>
      <c r="I105" t="s">
        <v>7</v>
      </c>
      <c r="J105">
        <v>539</v>
      </c>
      <c r="K105">
        <v>3.4100000000000001</v>
      </c>
      <c r="L105" s="34">
        <v>1.9028639999999999</v>
      </c>
    </row>
    <row r="106">
      <c r="A106">
        <v>1093</v>
      </c>
      <c r="B106">
        <v>2202339.4559999998</v>
      </c>
      <c r="C106">
        <v>6719010.9800000004</v>
      </c>
      <c r="D106">
        <f t="shared" si="18"/>
        <v>-7.3570000003091991</v>
      </c>
      <c r="E106">
        <f t="shared" si="19"/>
        <v>5.8980000000447035</v>
      </c>
      <c r="F106">
        <f t="shared" si="17"/>
        <v>9.4293081933446672</v>
      </c>
      <c r="G106">
        <f>SUM($F$94:F109)</f>
        <v>129.41471610813991</v>
      </c>
      <c r="H106">
        <v>106.604</v>
      </c>
      <c r="I106" t="s">
        <v>7</v>
      </c>
      <c r="J106">
        <v>539</v>
      </c>
      <c r="K106">
        <v>1.22</v>
      </c>
      <c r="L106" s="34">
        <v>2.3999999999999999</v>
      </c>
    </row>
    <row r="107">
      <c r="A107">
        <v>1094</v>
      </c>
      <c r="B107">
        <v>2202331.2009999999</v>
      </c>
      <c r="C107">
        <v>6719018.3679999998</v>
      </c>
      <c r="D107">
        <f t="shared" si="18"/>
        <v>-8.2549999998882413</v>
      </c>
      <c r="E107">
        <f t="shared" si="19"/>
        <v>7.3879999993368983</v>
      </c>
      <c r="F107">
        <f t="shared" si="17"/>
        <v>11.078247559445352</v>
      </c>
      <c r="G107">
        <f>SUM($F$95:F109)</f>
        <v>118.4518631037021</v>
      </c>
      <c r="H107">
        <v>107.929</v>
      </c>
      <c r="I107" t="s">
        <v>7</v>
      </c>
      <c r="J107">
        <v>539</v>
      </c>
      <c r="K107">
        <v>3.7400000000000002</v>
      </c>
      <c r="L107" s="34">
        <v>1.1154720000000002</v>
      </c>
    </row>
    <row r="108">
      <c r="A108">
        <v>1095</v>
      </c>
      <c r="B108">
        <v>2202319.3999999999</v>
      </c>
      <c r="C108">
        <v>6719026.1859999998</v>
      </c>
      <c r="D108">
        <f t="shared" si="18"/>
        <v>-11.800999999977648</v>
      </c>
      <c r="E108">
        <f t="shared" si="19"/>
        <v>7.8179999999701977</v>
      </c>
      <c r="F108">
        <f t="shared" si="17"/>
        <v>14.155731171472793</v>
      </c>
      <c r="G108">
        <f>SUM($F$96:F109)</f>
        <v>118.4518631037021</v>
      </c>
      <c r="H108">
        <v>108.361</v>
      </c>
      <c r="I108" t="s">
        <v>7</v>
      </c>
      <c r="J108">
        <v>539</v>
      </c>
      <c r="K108">
        <v>0.83999999999999997</v>
      </c>
      <c r="L108" s="34">
        <v>0.59999999999999998</v>
      </c>
    </row>
    <row r="109">
      <c r="A109">
        <v>1096</v>
      </c>
      <c r="B109">
        <v>2202314.426</v>
      </c>
      <c r="C109">
        <v>6719029.2539999997</v>
      </c>
      <c r="D109">
        <f t="shared" si="18"/>
        <v>-4.9739999999292195</v>
      </c>
      <c r="E109">
        <f t="shared" si="19"/>
        <v>3.0679999999701977</v>
      </c>
      <c r="F109">
        <f t="shared" si="17"/>
        <v>5.8440824770970679</v>
      </c>
      <c r="G109">
        <f>SUM($F$97:F109)</f>
        <v>118.4518631037021</v>
      </c>
      <c r="H109">
        <v>108.307</v>
      </c>
      <c r="I109" t="s">
        <v>7</v>
      </c>
      <c r="J109">
        <v>539</v>
      </c>
      <c r="K109">
        <v>0.39000000000000001</v>
      </c>
      <c r="L109" s="34">
        <v>0.32808000000000004</v>
      </c>
    </row>
    <row r="110">
      <c r="A110" t="s">
        <v>21</v>
      </c>
      <c r="B110">
        <v>2201798.2590000001</v>
      </c>
      <c r="C110">
        <v>6718424.6869999999</v>
      </c>
      <c r="H110">
        <v>108.63200000000001</v>
      </c>
      <c r="I110" t="s">
        <v>7</v>
      </c>
      <c r="J110">
        <v>539</v>
      </c>
      <c r="L110" s="34"/>
    </row>
    <row r="111">
      <c r="A111" t="s">
        <v>22</v>
      </c>
      <c r="B111">
        <v>2201958.5320000001</v>
      </c>
      <c r="C111">
        <v>6718307.4239999996</v>
      </c>
      <c r="H111">
        <v>108.633</v>
      </c>
      <c r="I111" t="s">
        <v>7</v>
      </c>
      <c r="J111">
        <v>539</v>
      </c>
      <c r="L111" s="34"/>
    </row>
    <row r="112">
      <c r="A112">
        <v>1097</v>
      </c>
      <c r="B112">
        <v>2201807.8119999999</v>
      </c>
      <c r="C112">
        <v>6718418.6390000004</v>
      </c>
      <c r="D112">
        <f>B112-B110</f>
        <v>9.5529999998398125</v>
      </c>
      <c r="E112">
        <f>C112-C110</f>
        <v>-6.0479999994859099</v>
      </c>
      <c r="F112">
        <f t="shared" ref="F112:F127" si="20">(D112^2+E112^2)^(0.5)</f>
        <v>11.30655177278736</v>
      </c>
      <c r="G112">
        <f>F112</f>
        <v>11.30655177278736</v>
      </c>
      <c r="H112">
        <v>107.675</v>
      </c>
      <c r="I112" t="s">
        <v>7</v>
      </c>
      <c r="J112">
        <v>539</v>
      </c>
      <c r="K112">
        <v>0.62</v>
      </c>
      <c r="L112" s="34">
        <v>0.82020000000000004</v>
      </c>
    </row>
    <row r="113">
      <c r="A113">
        <v>1098</v>
      </c>
      <c r="B113">
        <v>2201817.0260000001</v>
      </c>
      <c r="C113">
        <v>6718411.0839999998</v>
      </c>
      <c r="D113">
        <f t="shared" ref="D113:D127" si="21">B113-B112</f>
        <v>9.2140000001527369</v>
      </c>
      <c r="E113">
        <f t="shared" ref="E113:E127" si="22">C113-C112</f>
        <v>-7.5550000006332994</v>
      </c>
      <c r="F113">
        <f t="shared" si="20"/>
        <v>11.915360716838739</v>
      </c>
      <c r="G113">
        <f>SUM($F$99:F126)</f>
        <v>281.50621665630155</v>
      </c>
      <c r="H113">
        <v>106.994</v>
      </c>
      <c r="I113" t="s">
        <v>7</v>
      </c>
      <c r="J113">
        <v>539</v>
      </c>
      <c r="K113">
        <v>1.0800000000000001</v>
      </c>
      <c r="L113" s="34">
        <v>1.4763600000000001</v>
      </c>
    </row>
    <row r="114">
      <c r="A114">
        <v>1099</v>
      </c>
      <c r="B114">
        <v>2201825.301</v>
      </c>
      <c r="C114">
        <v>6718405.7819999997</v>
      </c>
      <c r="D114">
        <f t="shared" si="21"/>
        <v>8.2749999999068677</v>
      </c>
      <c r="E114">
        <f t="shared" si="22"/>
        <v>-5.302000000141561</v>
      </c>
      <c r="F114">
        <f t="shared" si="20"/>
        <v>9.8278598382333371</v>
      </c>
      <c r="G114">
        <f>SUM($F$100:F126)</f>
        <v>273.9796035406261</v>
      </c>
      <c r="H114">
        <v>106.84999999999999</v>
      </c>
      <c r="I114" t="s">
        <v>7</v>
      </c>
      <c r="J114">
        <v>539</v>
      </c>
      <c r="K114">
        <v>0.89000000000000001</v>
      </c>
      <c r="L114" s="34">
        <v>1.5</v>
      </c>
    </row>
    <row r="115">
      <c r="A115">
        <v>1100</v>
      </c>
      <c r="B115">
        <v>2201833.8909999998</v>
      </c>
      <c r="C115">
        <v>6718400.7070000004</v>
      </c>
      <c r="D115">
        <f t="shared" si="21"/>
        <v>8.5899999998509884</v>
      </c>
      <c r="E115">
        <f t="shared" si="22"/>
        <v>-5.0749999992549419</v>
      </c>
      <c r="F115">
        <f t="shared" si="20"/>
        <v>9.9771601665943823</v>
      </c>
      <c r="G115">
        <f>SUM($F$101:F126)</f>
        <v>265.488968699287</v>
      </c>
      <c r="H115">
        <v>106.602</v>
      </c>
      <c r="I115" t="s">
        <v>7</v>
      </c>
      <c r="J115">
        <v>539</v>
      </c>
      <c r="K115">
        <v>1.1499999999999999</v>
      </c>
      <c r="L115" s="34">
        <v>1.8372480000000002</v>
      </c>
    </row>
    <row r="116">
      <c r="A116">
        <v>1101</v>
      </c>
      <c r="B116">
        <v>2201843.426</v>
      </c>
      <c r="C116">
        <v>6718393.6169999996</v>
      </c>
      <c r="D116">
        <f t="shared" si="21"/>
        <v>9.5350000001490116</v>
      </c>
      <c r="E116">
        <f t="shared" si="22"/>
        <v>-7.090000000782311</v>
      </c>
      <c r="F116">
        <f t="shared" si="20"/>
        <v>11.882101035336083</v>
      </c>
      <c r="G116">
        <f>SUM($F$102:F126)</f>
        <v>255.46671421280749</v>
      </c>
      <c r="H116">
        <v>106.283</v>
      </c>
      <c r="I116" t="s">
        <v>7</v>
      </c>
      <c r="J116">
        <v>539</v>
      </c>
      <c r="K116">
        <v>1.0600000000000001</v>
      </c>
      <c r="L116" s="34">
        <v>2.2000000000000002</v>
      </c>
    </row>
    <row r="117">
      <c r="A117">
        <v>1102</v>
      </c>
      <c r="B117">
        <v>2201851.5839999998</v>
      </c>
      <c r="C117">
        <v>6718386.7220000001</v>
      </c>
      <c r="D117">
        <f t="shared" si="21"/>
        <v>8.1579999998211861</v>
      </c>
      <c r="E117">
        <f t="shared" si="22"/>
        <v>-6.8949999995529652</v>
      </c>
      <c r="F117">
        <f t="shared" si="20"/>
        <v>10.681478782964364</v>
      </c>
      <c r="G117">
        <f>SUM($F$103:F126)</f>
        <v>245.54691920451964</v>
      </c>
      <c r="H117">
        <v>106.096</v>
      </c>
      <c r="I117" t="s">
        <v>7</v>
      </c>
      <c r="J117">
        <v>539</v>
      </c>
      <c r="K117">
        <v>1.28</v>
      </c>
      <c r="L117" s="34">
        <v>2.3293680000000001</v>
      </c>
    </row>
    <row r="118">
      <c r="A118">
        <v>1103</v>
      </c>
      <c r="B118">
        <v>2201860.8939999999</v>
      </c>
      <c r="C118">
        <v>6718379.7520000003</v>
      </c>
      <c r="D118">
        <f t="shared" si="21"/>
        <v>9.3100000000558794</v>
      </c>
      <c r="E118">
        <f t="shared" si="22"/>
        <v>-6.9699999997392297</v>
      </c>
      <c r="F118">
        <f t="shared" si="20"/>
        <v>11.630004299113795</v>
      </c>
      <c r="G118">
        <f>SUM($F$104:F126)</f>
        <v>236.02256421378186</v>
      </c>
      <c r="H118">
        <v>106.062</v>
      </c>
      <c r="I118" t="s">
        <v>7</v>
      </c>
      <c r="J118">
        <v>539</v>
      </c>
      <c r="K118">
        <v>1.1599999999999999</v>
      </c>
      <c r="L118" s="34">
        <v>2.3999999999999999</v>
      </c>
    </row>
    <row r="119">
      <c r="A119">
        <v>1104</v>
      </c>
      <c r="B119">
        <v>2201869.145</v>
      </c>
      <c r="C119">
        <v>6718371.7819999997</v>
      </c>
      <c r="D119">
        <f t="shared" si="21"/>
        <v>8.2510000001639128</v>
      </c>
      <c r="E119">
        <f t="shared" si="22"/>
        <v>-7.9700000006705523</v>
      </c>
      <c r="F119">
        <f t="shared" si="20"/>
        <v>11.471700005378169</v>
      </c>
      <c r="G119">
        <f>SUM($F$105:F126)</f>
        <v>225.94977909696362</v>
      </c>
      <c r="H119">
        <v>106.142</v>
      </c>
      <c r="I119" t="s">
        <v>7</v>
      </c>
      <c r="J119">
        <v>539</v>
      </c>
      <c r="K119">
        <v>1.25</v>
      </c>
      <c r="L119" s="34">
        <v>2.2965599999999999</v>
      </c>
    </row>
    <row r="120">
      <c r="A120">
        <v>1105</v>
      </c>
      <c r="B120">
        <v>2201878.9810000001</v>
      </c>
      <c r="C120">
        <v>6718364.1529999999</v>
      </c>
      <c r="D120">
        <f t="shared" si="21"/>
        <v>9.8360000001266599</v>
      </c>
      <c r="E120">
        <f t="shared" si="22"/>
        <v>-7.6289999997243285</v>
      </c>
      <c r="F120">
        <f t="shared" si="20"/>
        <v>12.447832622520494</v>
      </c>
      <c r="G120">
        <f>SUM($F$106:F126)</f>
        <v>217.23684503311929</v>
      </c>
      <c r="H120">
        <v>106.34699999999999</v>
      </c>
      <c r="I120" t="s">
        <v>7</v>
      </c>
      <c r="J120">
        <v>539</v>
      </c>
      <c r="K120">
        <v>1.1100000000000001</v>
      </c>
      <c r="L120" s="34">
        <v>2.2999999999999998</v>
      </c>
    </row>
    <row r="121">
      <c r="A121">
        <v>1106</v>
      </c>
      <c r="B121">
        <v>2201888.0780000002</v>
      </c>
      <c r="C121">
        <v>6718355.8030000003</v>
      </c>
      <c r="D121">
        <f t="shared" si="21"/>
        <v>9.0970000000670552</v>
      </c>
      <c r="E121">
        <f t="shared" si="22"/>
        <v>-8.349999999627471</v>
      </c>
      <c r="F121">
        <f t="shared" si="20"/>
        <v>12.348194564186246</v>
      </c>
      <c r="G121">
        <f>SUM($F$107:F126)</f>
        <v>207.80753683977466</v>
      </c>
      <c r="H121">
        <v>105.93899999999999</v>
      </c>
      <c r="I121" t="s">
        <v>7</v>
      </c>
      <c r="J121">
        <v>539</v>
      </c>
      <c r="K121">
        <v>1.3100000000000001</v>
      </c>
      <c r="L121" s="34">
        <v>2.4606000000000003</v>
      </c>
    </row>
    <row r="122">
      <c r="A122">
        <v>1107</v>
      </c>
      <c r="B122">
        <v>2201899.557</v>
      </c>
      <c r="C122">
        <v>6718345.7309999997</v>
      </c>
      <c r="D122">
        <f t="shared" si="21"/>
        <v>11.478999999817461</v>
      </c>
      <c r="E122">
        <f t="shared" si="22"/>
        <v>-10.072000000625849</v>
      </c>
      <c r="F122">
        <f t="shared" si="20"/>
        <v>15.271300697989558</v>
      </c>
      <c r="G122">
        <f>SUM($F$108:F126)</f>
        <v>196.72928928032925</v>
      </c>
      <c r="H122">
        <v>105.789</v>
      </c>
      <c r="I122" t="s">
        <v>7</v>
      </c>
      <c r="J122">
        <v>539</v>
      </c>
      <c r="K122">
        <v>1.4399999999999999</v>
      </c>
      <c r="L122" s="34">
        <v>2.7000000000000002</v>
      </c>
    </row>
    <row r="123">
      <c r="A123">
        <v>1108</v>
      </c>
      <c r="B123">
        <v>2201908.702</v>
      </c>
      <c r="C123">
        <v>6718338.7209999999</v>
      </c>
      <c r="D123">
        <f t="shared" si="21"/>
        <v>9.1450000000186265</v>
      </c>
      <c r="E123">
        <f t="shared" si="22"/>
        <v>-7.0099999997764826</v>
      </c>
      <c r="F123">
        <f t="shared" si="20"/>
        <v>11.522635332128104</v>
      </c>
      <c r="G123">
        <f>SUM($F$109:F126)</f>
        <v>182.57355810885647</v>
      </c>
      <c r="H123">
        <v>105.545</v>
      </c>
      <c r="I123" t="s">
        <v>7</v>
      </c>
      <c r="J123">
        <v>539</v>
      </c>
      <c r="K123">
        <v>1.3799999999999999</v>
      </c>
      <c r="L123" s="34">
        <v>2.821488</v>
      </c>
    </row>
    <row r="124">
      <c r="A124">
        <v>1109</v>
      </c>
      <c r="B124">
        <v>2201918.173</v>
      </c>
      <c r="C124">
        <v>6718330.7240000004</v>
      </c>
      <c r="D124">
        <f t="shared" si="21"/>
        <v>9.4709999999031425</v>
      </c>
      <c r="E124">
        <f t="shared" si="22"/>
        <v>-7.9969999995082617</v>
      </c>
      <c r="F124">
        <f t="shared" si="20"/>
        <v>12.395638345414103</v>
      </c>
      <c r="G124">
        <f>SUM($F$110:F126)</f>
        <v>176.72947563175941</v>
      </c>
      <c r="H124">
        <v>106.05</v>
      </c>
      <c r="I124" t="s">
        <v>7</v>
      </c>
      <c r="J124">
        <v>539</v>
      </c>
      <c r="K124">
        <v>1.4399999999999999</v>
      </c>
      <c r="L124" s="34">
        <v>2.3999999999999999</v>
      </c>
    </row>
    <row r="125">
      <c r="A125">
        <v>1110</v>
      </c>
      <c r="B125">
        <v>2201928.0129999998</v>
      </c>
      <c r="C125">
        <v>6718323.324</v>
      </c>
      <c r="D125">
        <f t="shared" si="21"/>
        <v>9.8399999998509884</v>
      </c>
      <c r="E125">
        <f t="shared" si="22"/>
        <v>-7.400000000372529</v>
      </c>
      <c r="F125">
        <f t="shared" si="20"/>
        <v>12.312010396461696</v>
      </c>
      <c r="G125">
        <f>SUM($F$111:F126)</f>
        <v>176.72947563175941</v>
      </c>
      <c r="H125">
        <v>106.217</v>
      </c>
      <c r="I125" t="s">
        <v>7</v>
      </c>
      <c r="J125">
        <v>539</v>
      </c>
      <c r="K125">
        <v>1.28</v>
      </c>
      <c r="L125" s="34">
        <v>2.1653280000000001</v>
      </c>
    </row>
    <row r="126">
      <c r="A126">
        <v>1111</v>
      </c>
      <c r="B126">
        <v>2201937.1209999998</v>
      </c>
      <c r="C126">
        <v>6718315.9170000004</v>
      </c>
      <c r="D126">
        <f t="shared" si="21"/>
        <v>9.1080000000074506</v>
      </c>
      <c r="E126">
        <f t="shared" si="22"/>
        <v>-7.4069999996572733</v>
      </c>
      <c r="F126">
        <f t="shared" si="20"/>
        <v>11.739647055812988</v>
      </c>
      <c r="G126">
        <f>SUM($F$112:F126)</f>
        <v>176.72947563175941</v>
      </c>
      <c r="H126">
        <v>106.80500000000001</v>
      </c>
      <c r="I126" t="s">
        <v>7</v>
      </c>
      <c r="J126">
        <v>539</v>
      </c>
      <c r="K126">
        <v>1.1100000000000001</v>
      </c>
      <c r="L126" s="34">
        <v>1.6000000000000001</v>
      </c>
    </row>
    <row r="127">
      <c r="A127">
        <v>1112</v>
      </c>
      <c r="B127">
        <v>2201947.9249999998</v>
      </c>
      <c r="C127">
        <v>6718307.5319999997</v>
      </c>
      <c r="D127">
        <f t="shared" si="21"/>
        <v>10.804000000003725</v>
      </c>
      <c r="E127">
        <f t="shared" si="22"/>
        <v>-8.3850000007078052</v>
      </c>
      <c r="F127">
        <f t="shared" si="20"/>
        <v>13.676060873363733</v>
      </c>
      <c r="G127">
        <f>SUM($F$112:F127)</f>
        <v>190.40553650512314</v>
      </c>
      <c r="H127">
        <v>107.46299999999999</v>
      </c>
      <c r="I127" t="s">
        <v>7</v>
      </c>
      <c r="J127">
        <v>539</v>
      </c>
      <c r="K127">
        <v>0.84999999999999998</v>
      </c>
      <c r="L127" s="34">
        <v>0.95143199999999994</v>
      </c>
    </row>
    <row r="128">
      <c r="A128" t="s">
        <v>23</v>
      </c>
      <c r="B128">
        <v>2201626.7009999999</v>
      </c>
      <c r="C128">
        <v>6717965.9340000004</v>
      </c>
      <c r="H128">
        <v>107.303</v>
      </c>
      <c r="I128" t="s">
        <v>7</v>
      </c>
      <c r="J128">
        <v>539</v>
      </c>
      <c r="L128" s="34"/>
    </row>
    <row r="129">
      <c r="A129" t="s">
        <v>24</v>
      </c>
      <c r="B129">
        <v>2201542.605</v>
      </c>
      <c r="C129">
        <v>6718052.5070000002</v>
      </c>
      <c r="H129">
        <v>107.629</v>
      </c>
      <c r="I129" t="s">
        <v>7</v>
      </c>
      <c r="J129">
        <v>539</v>
      </c>
      <c r="L129" s="34"/>
    </row>
    <row r="130">
      <c r="A130">
        <v>1113</v>
      </c>
      <c r="B130">
        <v>2201620.6140000001</v>
      </c>
      <c r="C130">
        <v>6717971.4479999999</v>
      </c>
      <c r="D130">
        <f>B130-B128</f>
        <v>-6.0869999998249114</v>
      </c>
      <c r="E130">
        <f>C130-C128</f>
        <v>5.5139999995008111</v>
      </c>
      <c r="F130">
        <f t="shared" ref="F130:F140" si="23">(D130^2+E130^2)^(0.5)</f>
        <v>8.2131458645493094</v>
      </c>
      <c r="G130">
        <f>F130</f>
        <v>8.2131458645493094</v>
      </c>
      <c r="H130">
        <v>106.84699999999999</v>
      </c>
      <c r="I130" t="s">
        <v>7</v>
      </c>
      <c r="J130">
        <v>539</v>
      </c>
      <c r="K130">
        <v>0.89000000000000001</v>
      </c>
      <c r="L130" s="34">
        <v>0.36088800000000004</v>
      </c>
    </row>
    <row r="131">
      <c r="A131">
        <v>1114</v>
      </c>
      <c r="B131">
        <v>2201614.2919999999</v>
      </c>
      <c r="C131">
        <v>6717980.2240000004</v>
      </c>
      <c r="D131">
        <f t="shared" ref="D131:D140" si="24">B131-B130</f>
        <v>-6.3220000001601875</v>
      </c>
      <c r="E131">
        <f t="shared" ref="E131:E140" si="25">C131-C130</f>
        <v>8.7760000005364418</v>
      </c>
      <c r="F131">
        <f t="shared" si="23"/>
        <v>10.816000185440135</v>
      </c>
      <c r="G131">
        <f>SUM($F$115:F146)</f>
        <v>308.79823394016006</v>
      </c>
      <c r="H131">
        <v>106.283</v>
      </c>
      <c r="I131" t="s">
        <v>7</v>
      </c>
      <c r="J131">
        <v>539</v>
      </c>
      <c r="K131">
        <v>1.6599999999999999</v>
      </c>
      <c r="L131" s="34">
        <v>0.80000000000000004</v>
      </c>
    </row>
    <row r="132">
      <c r="A132">
        <v>1115</v>
      </c>
      <c r="B132">
        <v>2201608.0589999999</v>
      </c>
      <c r="C132">
        <v>6717990.0070000002</v>
      </c>
      <c r="D132">
        <f t="shared" si="24"/>
        <v>-6.2330000000074506</v>
      </c>
      <c r="E132">
        <f t="shared" si="25"/>
        <v>9.7829999998211861</v>
      </c>
      <c r="F132">
        <f t="shared" si="23"/>
        <v>11.599886982061257</v>
      </c>
      <c r="G132">
        <f>SUM($F$116:F146)</f>
        <v>298.82107377356573</v>
      </c>
      <c r="H132">
        <v>106.066</v>
      </c>
      <c r="I132" t="s">
        <v>7</v>
      </c>
      <c r="J132">
        <v>539</v>
      </c>
      <c r="K132">
        <v>2.46</v>
      </c>
      <c r="L132" s="34">
        <v>1.410744</v>
      </c>
    </row>
    <row r="133">
      <c r="A133">
        <v>1116</v>
      </c>
      <c r="B133">
        <v>2201599.9589999998</v>
      </c>
      <c r="C133">
        <v>6717998.182</v>
      </c>
      <c r="D133">
        <f t="shared" si="24"/>
        <v>-8.1000000000931323</v>
      </c>
      <c r="E133">
        <f t="shared" si="25"/>
        <v>8.1749999998137355</v>
      </c>
      <c r="F133">
        <f t="shared" si="23"/>
        <v>11.508285058967878</v>
      </c>
      <c r="G133">
        <f>SUM($F$117:F146)</f>
        <v>286.93897273822961</v>
      </c>
      <c r="H133">
        <v>105.842</v>
      </c>
      <c r="I133" t="s">
        <v>7</v>
      </c>
      <c r="J133">
        <v>539</v>
      </c>
      <c r="K133">
        <v>2.6299999999999999</v>
      </c>
      <c r="L133" s="34">
        <v>2.1000000000000001</v>
      </c>
    </row>
    <row r="134">
      <c r="A134">
        <v>1117</v>
      </c>
      <c r="B134">
        <v>2201594.3769999999</v>
      </c>
      <c r="C134">
        <v>6718004.6979999999</v>
      </c>
      <c r="D134">
        <f t="shared" si="24"/>
        <v>-5.5819999999366701</v>
      </c>
      <c r="E134">
        <f t="shared" si="25"/>
        <v>6.5159999998286366</v>
      </c>
      <c r="F134">
        <f t="shared" si="23"/>
        <v>8.5800337992958848</v>
      </c>
      <c r="G134">
        <f>SUM($F$118:F146)</f>
        <v>276.25749395526526</v>
      </c>
      <c r="H134">
        <v>105.73099999999999</v>
      </c>
      <c r="I134" t="s">
        <v>7</v>
      </c>
      <c r="J134">
        <v>539</v>
      </c>
      <c r="K134">
        <v>4.5599999999999996</v>
      </c>
      <c r="L134" s="34">
        <v>1.5091680000000001</v>
      </c>
    </row>
    <row r="135">
      <c r="A135">
        <v>1118</v>
      </c>
      <c r="B135">
        <v>2201587.2710000002</v>
      </c>
      <c r="C135">
        <v>6718011.3789999997</v>
      </c>
      <c r="D135">
        <f t="shared" si="24"/>
        <v>-7.105999999679625</v>
      </c>
      <c r="E135">
        <f t="shared" si="25"/>
        <v>6.6809999998658895</v>
      </c>
      <c r="F135">
        <f t="shared" si="23"/>
        <v>9.7535120338088905</v>
      </c>
      <c r="G135">
        <f>SUM($F$119:F146)</f>
        <v>264.62748965615145</v>
      </c>
      <c r="H135">
        <v>105.752</v>
      </c>
      <c r="I135" t="s">
        <v>7</v>
      </c>
      <c r="J135">
        <v>539</v>
      </c>
      <c r="K135">
        <v>4.6600000000000001</v>
      </c>
      <c r="L135" s="34">
        <v>1.7716320000000001</v>
      </c>
    </row>
    <row r="136">
      <c r="A136">
        <v>1119</v>
      </c>
      <c r="B136">
        <v>2201581.3429999999</v>
      </c>
      <c r="C136">
        <v>6718018.7149999999</v>
      </c>
      <c r="D136">
        <f t="shared" si="24"/>
        <v>-5.9280000003054738</v>
      </c>
      <c r="E136">
        <f t="shared" si="25"/>
        <v>7.3360000001266599</v>
      </c>
      <c r="F136">
        <f t="shared" si="23"/>
        <v>9.4317591151110314</v>
      </c>
      <c r="G136">
        <f>SUM($F$120:F146)</f>
        <v>253.15578965077324</v>
      </c>
      <c r="H136">
        <v>105.65600000000001</v>
      </c>
      <c r="I136" t="s">
        <v>7</v>
      </c>
      <c r="J136">
        <v>539</v>
      </c>
      <c r="K136">
        <v>5.29</v>
      </c>
      <c r="L136" s="34">
        <v>2.7999999999999998</v>
      </c>
    </row>
    <row r="137">
      <c r="A137">
        <v>1120</v>
      </c>
      <c r="B137">
        <v>2201571.9399999999</v>
      </c>
      <c r="C137">
        <v>6718026.2350000003</v>
      </c>
      <c r="D137">
        <f t="shared" si="24"/>
        <v>-9.4029999999329448</v>
      </c>
      <c r="E137">
        <f t="shared" si="25"/>
        <v>7.5200000004842877</v>
      </c>
      <c r="F137">
        <f t="shared" si="23"/>
        <v>12.040216318904848</v>
      </c>
      <c r="G137">
        <f>SUM($F$121:F146)</f>
        <v>240.70795702825276</v>
      </c>
      <c r="H137">
        <v>105.815</v>
      </c>
      <c r="I137" t="s">
        <v>7</v>
      </c>
      <c r="J137">
        <v>539</v>
      </c>
      <c r="K137">
        <v>4.46</v>
      </c>
      <c r="L137" s="34">
        <v>1.541976</v>
      </c>
    </row>
    <row r="138">
      <c r="A138">
        <v>1121</v>
      </c>
      <c r="B138">
        <v>2201563.9989999998</v>
      </c>
      <c r="C138">
        <v>6718033.9900000002</v>
      </c>
      <c r="D138">
        <f t="shared" si="24"/>
        <v>-7.9410000001080334</v>
      </c>
      <c r="E138">
        <f t="shared" si="25"/>
        <v>7.7549999998882413</v>
      </c>
      <c r="F138">
        <f t="shared" si="23"/>
        <v>11.099527287230858</v>
      </c>
      <c r="G138">
        <f>SUM($F$122:F146)</f>
        <v>228.35976246406651</v>
      </c>
      <c r="H138">
        <v>106.003</v>
      </c>
      <c r="I138" t="s">
        <v>7</v>
      </c>
      <c r="J138">
        <v>539</v>
      </c>
      <c r="K138">
        <v>3.7200000000000002</v>
      </c>
      <c r="L138" s="34">
        <v>1.5</v>
      </c>
    </row>
    <row r="139">
      <c r="A139">
        <v>1122</v>
      </c>
      <c r="B139">
        <v>2201556.1099999999</v>
      </c>
      <c r="C139">
        <v>6718041.7079999996</v>
      </c>
      <c r="D139">
        <f t="shared" si="24"/>
        <v>-7.8889999999664724</v>
      </c>
      <c r="E139">
        <f t="shared" si="25"/>
        <v>7.7179999994114041</v>
      </c>
      <c r="F139">
        <f t="shared" si="23"/>
        <v>11.03647792506221</v>
      </c>
      <c r="G139">
        <f>SUM($F$123:F146)</f>
        <v>213.08846176607696</v>
      </c>
      <c r="H139">
        <v>106.191</v>
      </c>
      <c r="I139" t="s">
        <v>7</v>
      </c>
      <c r="J139">
        <v>539</v>
      </c>
      <c r="K139">
        <v>3.3900000000000001</v>
      </c>
      <c r="L139" s="34">
        <v>1</v>
      </c>
    </row>
    <row r="140">
      <c r="A140">
        <v>1123</v>
      </c>
      <c r="B140">
        <v>2201548.4980000001</v>
      </c>
      <c r="C140">
        <v>6718049.7130000005</v>
      </c>
      <c r="D140">
        <f t="shared" si="24"/>
        <v>-7.6119999997317791</v>
      </c>
      <c r="E140">
        <f t="shared" si="25"/>
        <v>8.0050000008195639</v>
      </c>
      <c r="F140">
        <f t="shared" si="23"/>
        <v>11.046382620977685</v>
      </c>
      <c r="G140">
        <f>SUM($F$124:F146)</f>
        <v>201.5658264339489</v>
      </c>
      <c r="H140">
        <v>106.93899999999999</v>
      </c>
      <c r="I140" t="s">
        <v>7</v>
      </c>
      <c r="J140">
        <v>539</v>
      </c>
      <c r="K140">
        <v>0.97999999999999998</v>
      </c>
      <c r="L140" s="34">
        <v>0.52492800000000006</v>
      </c>
    </row>
    <row r="141">
      <c r="A141" t="s">
        <v>25</v>
      </c>
      <c r="B141">
        <v>2201322.9210000001</v>
      </c>
      <c r="C141">
        <v>6717840.9440000001</v>
      </c>
      <c r="H141">
        <v>105.69499999999999</v>
      </c>
      <c r="I141" t="s">
        <v>7</v>
      </c>
      <c r="J141">
        <v>539</v>
      </c>
      <c r="L141" s="34"/>
    </row>
    <row r="142">
      <c r="A142" t="s">
        <v>26</v>
      </c>
      <c r="B142">
        <v>2201396.838</v>
      </c>
      <c r="C142">
        <v>6717751.3099999996</v>
      </c>
      <c r="H142">
        <v>105.72</v>
      </c>
      <c r="I142" t="s">
        <v>7</v>
      </c>
      <c r="J142">
        <v>539</v>
      </c>
      <c r="L142" s="34"/>
    </row>
    <row r="143">
      <c r="A143">
        <v>1124</v>
      </c>
      <c r="B143">
        <v>2201326.3119999999</v>
      </c>
      <c r="C143">
        <v>6717837.3380000005</v>
      </c>
      <c r="D143">
        <f>B143-B141</f>
        <v>3.3909999998286366</v>
      </c>
      <c r="E143">
        <f>C143-C141</f>
        <v>-3.605999999679625</v>
      </c>
      <c r="F143">
        <f t="shared" ref="F143:F153" si="26">(D143^2+E143^2)^(0.5)</f>
        <v>4.9499613126293491</v>
      </c>
      <c r="G143">
        <f>F143</f>
        <v>4.9499613126293491</v>
      </c>
      <c r="H143">
        <v>104.267</v>
      </c>
      <c r="I143" t="s">
        <v>7</v>
      </c>
      <c r="J143">
        <v>539</v>
      </c>
      <c r="K143">
        <v>0.71999999999999997</v>
      </c>
      <c r="L143" s="34">
        <v>1.2138960000000001</v>
      </c>
    </row>
    <row r="144">
      <c r="A144">
        <v>1125</v>
      </c>
      <c r="B144">
        <v>2201332.057</v>
      </c>
      <c r="C144">
        <v>6717828.5439999998</v>
      </c>
      <c r="D144">
        <f t="shared" ref="D144:D153" si="27">B144-B143</f>
        <v>5.7450000001117587</v>
      </c>
      <c r="E144">
        <f t="shared" ref="E144:E153" si="28">C144-C143</f>
        <v>-8.794000000692904</v>
      </c>
      <c r="F144">
        <f t="shared" si="26"/>
        <v>10.504259184419952</v>
      </c>
      <c r="G144">
        <f>SUM($F$126:F161)</f>
        <v>323.55947203856829</v>
      </c>
      <c r="H144">
        <v>104.026</v>
      </c>
      <c r="I144" t="s">
        <v>7</v>
      </c>
      <c r="J144">
        <v>539</v>
      </c>
      <c r="K144">
        <v>2.3100000000000001</v>
      </c>
      <c r="L144" s="34">
        <v>1.5</v>
      </c>
    </row>
    <row r="145">
      <c r="A145">
        <v>1126</v>
      </c>
      <c r="B145">
        <v>2201340.196</v>
      </c>
      <c r="C145">
        <v>6717821.8810000001</v>
      </c>
      <c r="D145">
        <f t="shared" si="27"/>
        <v>8.1389999999664724</v>
      </c>
      <c r="E145">
        <f t="shared" si="28"/>
        <v>-6.6629999997094274</v>
      </c>
      <c r="F145">
        <f t="shared" si="26"/>
        <v>10.518502269600082</v>
      </c>
      <c r="G145">
        <f>SUM($F$127:F161)</f>
        <v>311.81982498275528</v>
      </c>
      <c r="H145">
        <v>103.434</v>
      </c>
      <c r="I145" t="s">
        <v>7</v>
      </c>
      <c r="J145">
        <v>539</v>
      </c>
      <c r="K145">
        <v>2.6600000000000001</v>
      </c>
      <c r="L145" s="34">
        <v>1204.0536</v>
      </c>
    </row>
    <row r="146">
      <c r="A146">
        <v>1127</v>
      </c>
      <c r="B146">
        <v>2201347.2749999999</v>
      </c>
      <c r="C146">
        <v>6717814.3380000005</v>
      </c>
      <c r="D146">
        <f t="shared" si="27"/>
        <v>7.078999999910593</v>
      </c>
      <c r="E146">
        <f t="shared" si="28"/>
        <v>-7.5429999995976686</v>
      </c>
      <c r="F146">
        <f t="shared" si="26"/>
        <v>10.344519804836985</v>
      </c>
      <c r="G146">
        <f>SUM($F$128:F161)</f>
        <v>298.14376410939161</v>
      </c>
      <c r="H146">
        <v>103.26600000000001</v>
      </c>
      <c r="I146" t="s">
        <v>7</v>
      </c>
      <c r="J146">
        <v>539</v>
      </c>
      <c r="K146">
        <v>3.0099999999999998</v>
      </c>
      <c r="L146" s="34">
        <v>2.3999999999999999</v>
      </c>
    </row>
    <row r="147">
      <c r="A147">
        <v>1128</v>
      </c>
      <c r="B147">
        <v>2201353.6699999999</v>
      </c>
      <c r="C147">
        <v>6717807.2249999996</v>
      </c>
      <c r="D147">
        <f t="shared" si="27"/>
        <v>6.3950000000186265</v>
      </c>
      <c r="E147">
        <f t="shared" si="28"/>
        <v>-7.1130000008270144</v>
      </c>
      <c r="F147">
        <f t="shared" si="26"/>
        <v>9.5650820180489475</v>
      </c>
      <c r="G147">
        <f>SUM($F$129:F161)</f>
        <v>298.14376410939161</v>
      </c>
      <c r="H147">
        <v>103.004</v>
      </c>
      <c r="I147" t="s">
        <v>7</v>
      </c>
      <c r="J147">
        <v>539</v>
      </c>
      <c r="K147">
        <v>2.6899999999999999</v>
      </c>
      <c r="L147" s="34">
        <v>2.6574480000000005</v>
      </c>
    </row>
    <row r="148">
      <c r="A148">
        <v>1129</v>
      </c>
      <c r="B148">
        <v>2201359.696</v>
      </c>
      <c r="C148">
        <v>6717799.4210000001</v>
      </c>
      <c r="D148">
        <f t="shared" si="27"/>
        <v>6.0260000000707805</v>
      </c>
      <c r="E148">
        <f t="shared" si="28"/>
        <v>-7.803999999538064</v>
      </c>
      <c r="F148">
        <f t="shared" si="26"/>
        <v>9.8597713966218876</v>
      </c>
      <c r="G148">
        <f>SUM($F$130:F161)</f>
        <v>298.14376410939161</v>
      </c>
      <c r="H148">
        <v>103.09999999999999</v>
      </c>
      <c r="I148" t="s">
        <v>7</v>
      </c>
      <c r="J148">
        <v>539</v>
      </c>
      <c r="K148">
        <v>3.29</v>
      </c>
      <c r="L148" s="34">
        <v>2.3999999999999999</v>
      </c>
    </row>
    <row r="149">
      <c r="A149">
        <v>1130</v>
      </c>
      <c r="B149">
        <v>2201367.5639999998</v>
      </c>
      <c r="C149">
        <v>6717792.9220000003</v>
      </c>
      <c r="D149">
        <f t="shared" si="27"/>
        <v>7.8679999997839332</v>
      </c>
      <c r="E149">
        <f t="shared" si="28"/>
        <v>-6.4989999998360872</v>
      </c>
      <c r="F149">
        <f t="shared" si="26"/>
        <v>10.205019597946366</v>
      </c>
      <c r="G149">
        <f>SUM($F$131:F161)</f>
        <v>289.93061824484226</v>
      </c>
      <c r="H149">
        <v>103.48399999999999</v>
      </c>
      <c r="I149" t="s">
        <v>7</v>
      </c>
      <c r="J149">
        <v>539</v>
      </c>
      <c r="K149">
        <v>3.5800000000000001</v>
      </c>
      <c r="L149" s="34">
        <v>2.1653280000000001</v>
      </c>
    </row>
    <row r="150">
      <c r="A150">
        <v>1131</v>
      </c>
      <c r="B150">
        <v>2201374.6830000002</v>
      </c>
      <c r="C150">
        <v>6717785.5049999999</v>
      </c>
      <c r="D150">
        <f t="shared" si="27"/>
        <v>7.1190000004135072</v>
      </c>
      <c r="E150">
        <f t="shared" si="28"/>
        <v>-7.4170000003650784</v>
      </c>
      <c r="F150">
        <f t="shared" si="26"/>
        <v>10.280663889618369</v>
      </c>
      <c r="G150">
        <f>SUM($F$132:F161)</f>
        <v>279.11461805940212</v>
      </c>
      <c r="H150">
        <v>103.57599999999999</v>
      </c>
      <c r="I150" t="s">
        <v>7</v>
      </c>
      <c r="J150">
        <v>539</v>
      </c>
      <c r="K150">
        <v>2.6899999999999999</v>
      </c>
      <c r="L150" s="34">
        <v>2</v>
      </c>
    </row>
    <row r="151">
      <c r="A151">
        <v>1132</v>
      </c>
      <c r="B151">
        <v>2201382.5240000002</v>
      </c>
      <c r="C151">
        <v>6717777.1509999996</v>
      </c>
      <c r="D151">
        <f t="shared" si="27"/>
        <v>7.8410000000149012</v>
      </c>
      <c r="E151">
        <f t="shared" si="28"/>
        <v>-8.3540000002831221</v>
      </c>
      <c r="F151">
        <f t="shared" si="26"/>
        <v>11.457338129119002</v>
      </c>
      <c r="G151">
        <f>SUM($F$133:F161)</f>
        <v>267.51473107734085</v>
      </c>
      <c r="H151">
        <v>104.00700000000001</v>
      </c>
      <c r="I151" t="s">
        <v>7</v>
      </c>
      <c r="J151">
        <v>539</v>
      </c>
      <c r="K151">
        <v>2.5899999999999999</v>
      </c>
      <c r="L151" s="34">
        <v>1.673208</v>
      </c>
    </row>
    <row r="152">
      <c r="A152">
        <v>1133</v>
      </c>
      <c r="B152">
        <v>2201391.5950000002</v>
      </c>
      <c r="C152">
        <v>6717769.1500000004</v>
      </c>
      <c r="D152">
        <f t="shared" si="27"/>
        <v>9.0709999999962747</v>
      </c>
      <c r="E152">
        <f t="shared" si="28"/>
        <v>-8.0009999992325902</v>
      </c>
      <c r="F152">
        <f t="shared" si="26"/>
        <v>12.095414089135284</v>
      </c>
      <c r="G152">
        <f>SUM($F$134:F161)</f>
        <v>256.00644601837297</v>
      </c>
      <c r="H152">
        <v>103.755</v>
      </c>
      <c r="I152" t="s">
        <v>7</v>
      </c>
      <c r="J152">
        <v>539</v>
      </c>
      <c r="K152">
        <v>0.89000000000000001</v>
      </c>
      <c r="L152" s="34">
        <v>1.7</v>
      </c>
    </row>
    <row r="153">
      <c r="A153">
        <v>1134</v>
      </c>
      <c r="B153">
        <v>2201401.0780000002</v>
      </c>
      <c r="C153">
        <v>6717761.1909999996</v>
      </c>
      <c r="D153">
        <f t="shared" si="27"/>
        <v>9.4830000000074506</v>
      </c>
      <c r="E153">
        <f t="shared" si="28"/>
        <v>-7.9590000007301569</v>
      </c>
      <c r="F153">
        <f t="shared" si="26"/>
        <v>12.380346118415428</v>
      </c>
      <c r="G153">
        <f>SUM($F$135:F161)</f>
        <v>247.42641221907706</v>
      </c>
      <c r="H153">
        <v>104.55200000000001</v>
      </c>
      <c r="I153" t="s">
        <v>7</v>
      </c>
      <c r="J153">
        <v>539</v>
      </c>
      <c r="K153">
        <v>0.33000000000000002</v>
      </c>
      <c r="L153" s="34">
        <v>0.98424</v>
      </c>
    </row>
    <row r="154">
      <c r="A154" t="s">
        <v>27</v>
      </c>
      <c r="B154">
        <v>2193545.2749999999</v>
      </c>
      <c r="C154">
        <v>6701915.5</v>
      </c>
      <c r="H154">
        <v>73.804000000000002</v>
      </c>
      <c r="I154" t="s">
        <v>7</v>
      </c>
      <c r="J154">
        <v>539</v>
      </c>
      <c r="L154" s="34"/>
    </row>
    <row r="155">
      <c r="A155">
        <v>1135</v>
      </c>
      <c r="B155">
        <v>2193402.2349999999</v>
      </c>
      <c r="C155">
        <v>6702066.0159999998</v>
      </c>
      <c r="D155">
        <f t="shared" ref="D155:D174" si="29">B155-B156</f>
        <v>-4.6260000001639128</v>
      </c>
      <c r="E155">
        <f t="shared" ref="E155:E174" si="30">C155-C156</f>
        <v>6.9169999994337559</v>
      </c>
      <c r="F155">
        <f t="shared" ref="F155:F175" si="31">(D155^2+E155^2)^(0.5)</f>
        <v>8.3213439415567425</v>
      </c>
      <c r="G155">
        <f>SUM(F155:$F$175)</f>
        <v>210.16863988241317</v>
      </c>
      <c r="H155">
        <v>72.742000000000004</v>
      </c>
      <c r="I155" t="s">
        <v>7</v>
      </c>
      <c r="J155">
        <v>539</v>
      </c>
      <c r="K155">
        <v>1.1499999999999999</v>
      </c>
      <c r="L155" s="34">
        <v>0.72177600000000008</v>
      </c>
    </row>
    <row r="156">
      <c r="A156">
        <v>1136</v>
      </c>
      <c r="B156">
        <v>2193406.861</v>
      </c>
      <c r="C156">
        <v>6702059.0990000004</v>
      </c>
      <c r="D156">
        <f t="shared" si="29"/>
        <v>-9.1880000000819564</v>
      </c>
      <c r="E156">
        <f t="shared" si="30"/>
        <v>9.5770000005140901</v>
      </c>
      <c r="F156">
        <f t="shared" si="31"/>
        <v>13.271709498453955</v>
      </c>
      <c r="G156">
        <f>SUM(F156:$F$175)</f>
        <v>201.84729594085644</v>
      </c>
      <c r="H156">
        <v>72.736999999999995</v>
      </c>
      <c r="I156" t="s">
        <v>7</v>
      </c>
      <c r="J156">
        <v>539</v>
      </c>
      <c r="K156">
        <v>1.0600000000000001</v>
      </c>
      <c r="L156" s="34">
        <v>0.90000000000000002</v>
      </c>
    </row>
    <row r="157">
      <c r="A157">
        <v>1137</v>
      </c>
      <c r="B157">
        <v>2193416.0490000001</v>
      </c>
      <c r="C157">
        <v>6702049.5219999999</v>
      </c>
      <c r="D157">
        <f t="shared" si="29"/>
        <v>-6.2029999997466803</v>
      </c>
      <c r="E157">
        <f t="shared" si="30"/>
        <v>5.7489999998360872</v>
      </c>
      <c r="F157">
        <f t="shared" si="31"/>
        <v>8.457435190113646</v>
      </c>
      <c r="G157">
        <f>SUM(F157:$F$175)</f>
        <v>188.57558644240248</v>
      </c>
      <c r="H157">
        <v>72.555999999999997</v>
      </c>
      <c r="I157" t="s">
        <v>7</v>
      </c>
      <c r="J157">
        <v>539</v>
      </c>
      <c r="K157">
        <v>1.54</v>
      </c>
      <c r="L157" s="34">
        <v>1.0826640000000001</v>
      </c>
    </row>
    <row r="158">
      <c r="A158">
        <v>1138</v>
      </c>
      <c r="B158">
        <v>2193422.2519999999</v>
      </c>
      <c r="C158">
        <v>6702043.773</v>
      </c>
      <c r="D158">
        <f t="shared" si="29"/>
        <v>-7.2669999999925494</v>
      </c>
      <c r="E158">
        <f t="shared" si="30"/>
        <v>6.8049999997019768</v>
      </c>
      <c r="F158">
        <f t="shared" si="31"/>
        <v>9.9557678757510022</v>
      </c>
      <c r="G158">
        <f>SUM(F158:$F$175)</f>
        <v>180.11815125228884</v>
      </c>
      <c r="H158">
        <v>72.593999999999994</v>
      </c>
      <c r="I158" t="s">
        <v>7</v>
      </c>
      <c r="J158">
        <v>539</v>
      </c>
      <c r="K158">
        <v>1.3799999999999999</v>
      </c>
      <c r="L158" s="34">
        <v>1.1000000000000001</v>
      </c>
    </row>
    <row r="159">
      <c r="A159">
        <v>1139</v>
      </c>
      <c r="B159">
        <v>2193429.5189999999</v>
      </c>
      <c r="C159">
        <v>6702036.9680000003</v>
      </c>
      <c r="D159">
        <f t="shared" si="29"/>
        <v>-7.2350000003352761</v>
      </c>
      <c r="E159">
        <f t="shared" si="30"/>
        <v>7.8100000005215406</v>
      </c>
      <c r="F159">
        <f t="shared" si="31"/>
        <v>10.64618828562589</v>
      </c>
      <c r="G159">
        <f>SUM(F159:$F$175)</f>
        <v>170.16238337653783</v>
      </c>
      <c r="H159">
        <v>72.352000000000004</v>
      </c>
      <c r="I159" t="s">
        <v>7</v>
      </c>
      <c r="J159">
        <v>539</v>
      </c>
      <c r="K159">
        <v>1.3799999999999999</v>
      </c>
      <c r="L159" s="34">
        <v>1.2795120000000002</v>
      </c>
    </row>
    <row r="160">
      <c r="A160">
        <v>1140</v>
      </c>
      <c r="B160">
        <v>2193436.7540000002</v>
      </c>
      <c r="C160">
        <v>6702029.1579999998</v>
      </c>
      <c r="D160">
        <f t="shared" si="29"/>
        <v>-7.2789999996311963</v>
      </c>
      <c r="E160">
        <f t="shared" si="30"/>
        <v>6.473000000230968</v>
      </c>
      <c r="F160">
        <f t="shared" si="31"/>
        <v>9.7408197805739665</v>
      </c>
      <c r="G160">
        <f>SUM(F160:$F$175)</f>
        <v>159.51619509091194</v>
      </c>
      <c r="H160">
        <v>72.058000000000007</v>
      </c>
      <c r="I160" t="s">
        <v>7</v>
      </c>
      <c r="J160">
        <v>539</v>
      </c>
      <c r="K160">
        <v>1.77</v>
      </c>
      <c r="L160" s="34">
        <v>1.6404000000000001</v>
      </c>
    </row>
    <row r="161">
      <c r="A161">
        <v>1141</v>
      </c>
      <c r="B161">
        <v>2193444.0329999998</v>
      </c>
      <c r="C161">
        <v>6702022.6849999996</v>
      </c>
      <c r="D161">
        <f t="shared" si="29"/>
        <v>-7.0720000001601875</v>
      </c>
      <c r="E161">
        <f t="shared" si="30"/>
        <v>7.7129999995231628</v>
      </c>
      <c r="F161">
        <f t="shared" si="31"/>
        <v>10.464394535514703</v>
      </c>
      <c r="G161">
        <f>SUM(F161:$F$175)</f>
        <v>149.77537531033798</v>
      </c>
      <c r="H161">
        <v>72.069000000000003</v>
      </c>
      <c r="I161" t="s">
        <v>7</v>
      </c>
      <c r="J161">
        <v>539</v>
      </c>
      <c r="K161">
        <v>2.4700000000000002</v>
      </c>
      <c r="L161" s="34">
        <v>1.8</v>
      </c>
    </row>
    <row r="162">
      <c r="A162">
        <v>1142</v>
      </c>
      <c r="B162">
        <v>2193451.105</v>
      </c>
      <c r="C162">
        <v>6702014.9720000001</v>
      </c>
      <c r="D162">
        <f t="shared" si="29"/>
        <v>-7.4649999998509884</v>
      </c>
      <c r="E162">
        <f t="shared" si="30"/>
        <v>7.1330000003799796</v>
      </c>
      <c r="F162">
        <f t="shared" si="31"/>
        <v>10.325013995302671</v>
      </c>
      <c r="G162">
        <f>SUM(F162:$F$175)</f>
        <v>139.31098077482326</v>
      </c>
      <c r="H162">
        <v>71.994</v>
      </c>
      <c r="I162" t="s">
        <v>7</v>
      </c>
      <c r="J162">
        <v>539</v>
      </c>
      <c r="K162">
        <v>2.4900000000000002</v>
      </c>
      <c r="L162" s="34">
        <v>1.7060160000000002</v>
      </c>
    </row>
    <row r="163">
      <c r="A163">
        <v>1143</v>
      </c>
      <c r="B163">
        <v>2193458.5699999998</v>
      </c>
      <c r="C163">
        <v>6702007.8389999997</v>
      </c>
      <c r="D163">
        <f t="shared" si="29"/>
        <v>-7.1290000001899898</v>
      </c>
      <c r="E163">
        <f t="shared" si="30"/>
        <v>5.4720000000670552</v>
      </c>
      <c r="F163">
        <f t="shared" si="31"/>
        <v>8.9869586069728129</v>
      </c>
      <c r="G163">
        <f>SUM(F163:$F$175)</f>
        <v>128.9859667795206</v>
      </c>
      <c r="H163">
        <v>72.034000000000006</v>
      </c>
      <c r="I163" t="s">
        <v>7</v>
      </c>
      <c r="J163">
        <v>539</v>
      </c>
      <c r="K163">
        <v>2.3100000000000001</v>
      </c>
      <c r="L163" s="34">
        <v>1.7</v>
      </c>
    </row>
    <row r="164">
      <c r="A164">
        <v>1144</v>
      </c>
      <c r="B164">
        <v>2193465.699</v>
      </c>
      <c r="C164">
        <v>6702002.3669999996</v>
      </c>
      <c r="D164">
        <f t="shared" si="29"/>
        <v>-8.4929999997839332</v>
      </c>
      <c r="E164">
        <f t="shared" si="30"/>
        <v>7.3919999999925494</v>
      </c>
      <c r="F164">
        <f t="shared" si="31"/>
        <v>11.259338923587821</v>
      </c>
      <c r="G164">
        <f>SUM(F164:$F$175)</f>
        <v>119.99900817254778</v>
      </c>
      <c r="H164">
        <v>72.244</v>
      </c>
      <c r="I164" t="s">
        <v>7</v>
      </c>
      <c r="J164">
        <v>539</v>
      </c>
      <c r="K164">
        <v>2.5299999999999998</v>
      </c>
      <c r="L164" s="34">
        <v>1.5091680000000001</v>
      </c>
    </row>
    <row r="165">
      <c r="A165">
        <v>1145</v>
      </c>
      <c r="B165">
        <v>2193474.1919999998</v>
      </c>
      <c r="C165">
        <v>6701994.9749999996</v>
      </c>
      <c r="D165">
        <f t="shared" si="29"/>
        <v>-6.6810000003315508</v>
      </c>
      <c r="E165">
        <f t="shared" si="30"/>
        <v>5.7919999994337559</v>
      </c>
      <c r="F165">
        <f t="shared" si="31"/>
        <v>8.8421165451418258</v>
      </c>
      <c r="G165">
        <f>SUM(F165:$F$175)</f>
        <v>108.73966924895996</v>
      </c>
      <c r="H165">
        <v>72.376000000000005</v>
      </c>
      <c r="I165" t="s">
        <v>7</v>
      </c>
      <c r="J165">
        <v>539</v>
      </c>
      <c r="K165">
        <v>1.9299999999999999</v>
      </c>
      <c r="L165" s="34">
        <v>1.3</v>
      </c>
    </row>
    <row r="166">
      <c r="A166">
        <v>1146</v>
      </c>
      <c r="B166">
        <v>2193480.8730000001</v>
      </c>
      <c r="C166">
        <v>6701989.1830000002</v>
      </c>
      <c r="D166">
        <f t="shared" si="29"/>
        <v>-8.355999999679625</v>
      </c>
      <c r="E166">
        <f t="shared" si="30"/>
        <v>6.6720000002533197</v>
      </c>
      <c r="F166">
        <f t="shared" si="31"/>
        <v>10.692909800331535</v>
      </c>
      <c r="G166">
        <f>SUM(F166:$F$175)</f>
        <v>99.89755270381815</v>
      </c>
      <c r="H166">
        <v>72.421000000000006</v>
      </c>
      <c r="I166" t="s">
        <v>7</v>
      </c>
      <c r="J166">
        <v>539</v>
      </c>
      <c r="K166">
        <v>2.1000000000000001</v>
      </c>
      <c r="L166" s="34">
        <v>1.3123200000000002</v>
      </c>
    </row>
    <row r="167">
      <c r="A167">
        <v>1147</v>
      </c>
      <c r="B167">
        <v>2193489.2289999998</v>
      </c>
      <c r="C167">
        <v>6701982.5109999999</v>
      </c>
      <c r="D167">
        <f t="shared" si="29"/>
        <v>-6.6170000000856817</v>
      </c>
      <c r="E167">
        <f t="shared" si="30"/>
        <v>5.5920000001788139</v>
      </c>
      <c r="F167">
        <f t="shared" si="31"/>
        <v>8.6634377127750941</v>
      </c>
      <c r="G167">
        <f>SUM(F167:$F$175)</f>
        <v>89.204642903486615</v>
      </c>
      <c r="H167">
        <v>72.515000000000001</v>
      </c>
      <c r="I167" t="s">
        <v>7</v>
      </c>
      <c r="J167">
        <v>539</v>
      </c>
      <c r="K167">
        <v>1.8700000000000001</v>
      </c>
      <c r="L167" s="34">
        <v>1.3999999999999999</v>
      </c>
    </row>
    <row r="168">
      <c r="A168">
        <v>1148</v>
      </c>
      <c r="B168">
        <v>2193495.8459999999</v>
      </c>
      <c r="C168">
        <v>6701976.9189999998</v>
      </c>
      <c r="D168">
        <f t="shared" si="29"/>
        <v>-7.1850000000558794</v>
      </c>
      <c r="E168">
        <f t="shared" si="30"/>
        <v>7.1379999993368983</v>
      </c>
      <c r="F168">
        <f t="shared" si="31"/>
        <v>10.127944954004072</v>
      </c>
      <c r="G168">
        <f>SUM(F168:$F$175)</f>
        <v>80.541205190711509</v>
      </c>
      <c r="H168">
        <v>72.408000000000001</v>
      </c>
      <c r="I168" t="s">
        <v>7</v>
      </c>
      <c r="J168">
        <v>539</v>
      </c>
      <c r="K168">
        <v>1.97</v>
      </c>
      <c r="L168" s="34">
        <v>1.410744</v>
      </c>
    </row>
    <row r="169">
      <c r="A169">
        <v>1149</v>
      </c>
      <c r="B169">
        <v>2193503.031</v>
      </c>
      <c r="C169">
        <v>6701969.7810000004</v>
      </c>
      <c r="D169">
        <f t="shared" si="29"/>
        <v>-7.1200000001117587</v>
      </c>
      <c r="E169">
        <f t="shared" si="30"/>
        <v>6.0630000000819564</v>
      </c>
      <c r="F169">
        <f t="shared" si="31"/>
        <v>9.351704069450939</v>
      </c>
      <c r="G169">
        <f>SUM(F169:$F$175)</f>
        <v>70.413260236707444</v>
      </c>
      <c r="H169">
        <v>72.352999999999994</v>
      </c>
      <c r="I169" t="s">
        <v>7</v>
      </c>
      <c r="J169">
        <v>539</v>
      </c>
      <c r="K169">
        <v>1.9299999999999999</v>
      </c>
      <c r="L169" s="34">
        <v>1.5</v>
      </c>
    </row>
    <row r="170">
      <c r="A170">
        <v>1150</v>
      </c>
      <c r="B170">
        <v>2193510.1510000001</v>
      </c>
      <c r="C170">
        <v>6701963.7180000003</v>
      </c>
      <c r="D170">
        <f t="shared" si="29"/>
        <v>-6.2879999997094274</v>
      </c>
      <c r="E170">
        <f t="shared" si="30"/>
        <v>8.2540000006556511</v>
      </c>
      <c r="F170">
        <f t="shared" si="31"/>
        <v>10.376293172764985</v>
      </c>
      <c r="G170">
        <f>SUM(F170:$F$175)</f>
        <v>61.061556167256512</v>
      </c>
      <c r="H170">
        <v>72.260999999999996</v>
      </c>
      <c r="I170" t="s">
        <v>7</v>
      </c>
      <c r="J170">
        <v>539</v>
      </c>
      <c r="K170">
        <v>1.8999999999999999</v>
      </c>
      <c r="L170" s="34">
        <v>1.410744</v>
      </c>
    </row>
    <row r="171">
      <c r="A171">
        <v>1151</v>
      </c>
      <c r="B171">
        <v>2193516.4389999998</v>
      </c>
      <c r="C171">
        <v>6701955.4639999997</v>
      </c>
      <c r="D171">
        <f t="shared" si="29"/>
        <v>-6.2970000002533197</v>
      </c>
      <c r="E171">
        <f t="shared" si="30"/>
        <v>6.132999999448657</v>
      </c>
      <c r="F171">
        <f t="shared" si="31"/>
        <v>8.7901022745146449</v>
      </c>
      <c r="G171">
        <f>SUM(F171:$F$175)</f>
        <v>50.685262994491524</v>
      </c>
      <c r="H171">
        <v>72.215999999999994</v>
      </c>
      <c r="I171" t="s">
        <v>7</v>
      </c>
      <c r="J171">
        <v>539</v>
      </c>
      <c r="K171">
        <v>1.8700000000000001</v>
      </c>
      <c r="L171" s="34">
        <v>1.5</v>
      </c>
    </row>
    <row r="172">
      <c r="A172">
        <v>1152</v>
      </c>
      <c r="B172">
        <v>2193522.736</v>
      </c>
      <c r="C172">
        <v>6701949.3310000002</v>
      </c>
      <c r="D172">
        <f t="shared" si="29"/>
        <v>-6.5570000000298023</v>
      </c>
      <c r="E172">
        <f t="shared" si="30"/>
        <v>7.7140000006183982</v>
      </c>
      <c r="F172">
        <f t="shared" si="31"/>
        <v>10.124230588540122</v>
      </c>
      <c r="G172">
        <f>SUM(F172:$F$175)</f>
        <v>41.895160719976879</v>
      </c>
      <c r="H172">
        <v>72.082999999999998</v>
      </c>
      <c r="I172" t="s">
        <v>7</v>
      </c>
      <c r="J172">
        <v>539</v>
      </c>
      <c r="K172">
        <v>1.6699999999999999</v>
      </c>
      <c r="L172" s="34">
        <v>1.6075920000000001</v>
      </c>
    </row>
    <row r="173">
      <c r="A173">
        <v>1153</v>
      </c>
      <c r="B173">
        <v>2193529.2930000001</v>
      </c>
      <c r="C173">
        <v>6701941.6169999996</v>
      </c>
      <c r="D173">
        <f t="shared" si="29"/>
        <v>-7.6030000001192093</v>
      </c>
      <c r="E173">
        <f t="shared" si="30"/>
        <v>6.251999999396503</v>
      </c>
      <c r="F173">
        <f t="shared" si="31"/>
        <v>9.8434299405373213</v>
      </c>
      <c r="G173">
        <f>SUM(F173:$F$175)</f>
        <v>31.770930131436756</v>
      </c>
      <c r="H173">
        <v>72.278000000000006</v>
      </c>
      <c r="I173" t="s">
        <v>7</v>
      </c>
      <c r="J173">
        <v>539</v>
      </c>
      <c r="K173">
        <v>1.71</v>
      </c>
      <c r="L173" s="34">
        <v>1.3</v>
      </c>
    </row>
    <row r="174">
      <c r="A174">
        <v>1154</v>
      </c>
      <c r="B174">
        <v>2193536.8960000002</v>
      </c>
      <c r="C174">
        <v>6701935.3650000002</v>
      </c>
      <c r="D174">
        <f t="shared" si="29"/>
        <v>-5.7409999999217689</v>
      </c>
      <c r="E174">
        <f t="shared" si="30"/>
        <v>8.4780000001192093</v>
      </c>
      <c r="F174">
        <f t="shared" si="31"/>
        <v>10.23892401579009</v>
      </c>
      <c r="G174">
        <f>SUM(F174:$F$175)</f>
        <v>21.927500190899437</v>
      </c>
      <c r="H174">
        <v>72.548000000000002</v>
      </c>
      <c r="I174" t="s">
        <v>7</v>
      </c>
      <c r="J174">
        <v>539</v>
      </c>
      <c r="K174">
        <v>1.22</v>
      </c>
      <c r="L174" s="34">
        <v>1.2</v>
      </c>
    </row>
    <row r="175">
      <c r="A175">
        <v>1155</v>
      </c>
      <c r="B175">
        <v>2193542.6370000001</v>
      </c>
      <c r="C175">
        <v>6701926.8870000001</v>
      </c>
      <c r="D175">
        <f>B175-B154</f>
        <v>-2.6379999998025596</v>
      </c>
      <c r="E175">
        <f>C175-C154</f>
        <v>11.387000000104308</v>
      </c>
      <c r="F175">
        <f t="shared" si="31"/>
        <v>11.688576175109345</v>
      </c>
      <c r="G175">
        <f>SUM(F175:$F$175)</f>
        <v>11.688576175109345</v>
      </c>
      <c r="H175">
        <v>72.933999999999997</v>
      </c>
      <c r="I175" t="s">
        <v>7</v>
      </c>
      <c r="J175">
        <v>539</v>
      </c>
      <c r="K175">
        <v>0.58999999999999997</v>
      </c>
      <c r="L175" s="34">
        <v>0.65616000000000008</v>
      </c>
    </row>
    <row r="176">
      <c r="A176" t="s">
        <v>28</v>
      </c>
      <c r="B176">
        <v>2193901.6340000001</v>
      </c>
      <c r="C176">
        <v>6702381.176</v>
      </c>
      <c r="H176">
        <v>74.286000000000001</v>
      </c>
      <c r="I176" t="s">
        <v>7</v>
      </c>
      <c r="J176">
        <v>539</v>
      </c>
      <c r="L176" s="34"/>
    </row>
    <row r="177">
      <c r="A177">
        <v>1156</v>
      </c>
      <c r="B177">
        <v>2193895.3050000002</v>
      </c>
      <c r="C177">
        <v>6702387.4199999999</v>
      </c>
      <c r="D177">
        <f t="shared" ref="D177:D185" si="32">B177-B176</f>
        <v>-6.328999999910593</v>
      </c>
      <c r="E177">
        <f t="shared" ref="E177:E185" si="33">C177-C176</f>
        <v>6.2439999999478459</v>
      </c>
      <c r="F177">
        <f t="shared" ref="F177:F185" si="34">(D177^2+E177^2)^(0.5)</f>
        <v>8.8906567247991859</v>
      </c>
      <c r="G177">
        <f>F177</f>
        <v>8.8906567247991859</v>
      </c>
      <c r="H177">
        <v>73.480999999999995</v>
      </c>
      <c r="I177" t="s">
        <v>7</v>
      </c>
      <c r="J177">
        <v>539</v>
      </c>
      <c r="K177">
        <v>0.46000000000000002</v>
      </c>
      <c r="L177" s="34">
        <v>0.55773600000000012</v>
      </c>
    </row>
    <row r="178">
      <c r="A178">
        <v>1157</v>
      </c>
      <c r="B178">
        <v>2193889.5109999999</v>
      </c>
      <c r="C178">
        <v>6702392.1710000001</v>
      </c>
      <c r="D178">
        <f t="shared" si="32"/>
        <v>-5.7940000002272427</v>
      </c>
      <c r="E178">
        <f t="shared" si="33"/>
        <v>4.7510000001639128</v>
      </c>
      <c r="F178">
        <f t="shared" si="34"/>
        <v>7.4928257022428317</v>
      </c>
      <c r="G178">
        <f>SUM($F$158:F197)</f>
        <v>342.93435497724283</v>
      </c>
      <c r="H178">
        <v>73.122</v>
      </c>
      <c r="I178" t="s">
        <v>7</v>
      </c>
      <c r="J178">
        <v>539</v>
      </c>
      <c r="K178">
        <v>0.72999999999999998</v>
      </c>
      <c r="L178" s="34">
        <v>1</v>
      </c>
    </row>
    <row r="179">
      <c r="A179">
        <v>1158</v>
      </c>
      <c r="B179">
        <v>2193882.4559999998</v>
      </c>
      <c r="C179">
        <v>6702397.4819999998</v>
      </c>
      <c r="D179">
        <f t="shared" si="32"/>
        <v>-7.0550000001676381</v>
      </c>
      <c r="E179">
        <f t="shared" si="33"/>
        <v>5.3109999997541308</v>
      </c>
      <c r="F179">
        <f t="shared" si="34"/>
        <v>8.8306141349146117</v>
      </c>
      <c r="G179">
        <f>SUM($F$159:F197)</f>
        <v>332.97858710149188</v>
      </c>
      <c r="H179">
        <v>72.465999999999994</v>
      </c>
      <c r="I179" t="s">
        <v>7</v>
      </c>
      <c r="J179">
        <v>539</v>
      </c>
      <c r="K179">
        <v>0.81999999999999995</v>
      </c>
      <c r="L179" s="34">
        <v>1.6075920000000001</v>
      </c>
    </row>
    <row r="180">
      <c r="A180">
        <v>1159</v>
      </c>
      <c r="B180">
        <v>2193875.298</v>
      </c>
      <c r="C180">
        <v>6702403.2850000001</v>
      </c>
      <c r="D180">
        <f t="shared" si="32"/>
        <v>-7.1579999998211861</v>
      </c>
      <c r="E180">
        <f t="shared" si="33"/>
        <v>5.8030000003054738</v>
      </c>
      <c r="F180">
        <f t="shared" si="34"/>
        <v>9.2147584342176554</v>
      </c>
      <c r="G180">
        <f>SUM($F$160:F197)</f>
        <v>322.33239881586599</v>
      </c>
      <c r="H180">
        <v>72.105000000000004</v>
      </c>
      <c r="I180" t="s">
        <v>7</v>
      </c>
      <c r="J180">
        <v>539</v>
      </c>
      <c r="K180">
        <v>0.78000000000000003</v>
      </c>
      <c r="L180" s="34">
        <v>2</v>
      </c>
    </row>
    <row r="181">
      <c r="A181">
        <v>1160</v>
      </c>
      <c r="B181">
        <v>2193867.051</v>
      </c>
      <c r="C181">
        <v>6702410.1299999999</v>
      </c>
      <c r="D181">
        <f t="shared" si="32"/>
        <v>-8.246999999973923</v>
      </c>
      <c r="E181">
        <f t="shared" si="33"/>
        <v>6.8449999997392297</v>
      </c>
      <c r="F181">
        <f t="shared" si="34"/>
        <v>10.717603929796994</v>
      </c>
      <c r="G181">
        <f>SUM($F$161:F197)</f>
        <v>312.59157903529206</v>
      </c>
      <c r="H181">
        <v>71.599999999999994</v>
      </c>
      <c r="I181" t="s">
        <v>7</v>
      </c>
      <c r="J181">
        <v>539</v>
      </c>
      <c r="K181">
        <v>1.1200000000000001</v>
      </c>
      <c r="L181" s="34">
        <v>2.5262160000000002</v>
      </c>
    </row>
    <row r="182">
      <c r="A182">
        <v>1161</v>
      </c>
      <c r="B182">
        <v>2193857.6209999998</v>
      </c>
      <c r="C182">
        <v>6702417.3229999999</v>
      </c>
      <c r="D182">
        <f t="shared" si="32"/>
        <v>-9.4300000001676381</v>
      </c>
      <c r="E182">
        <f t="shared" si="33"/>
        <v>7.1929999999701977</v>
      </c>
      <c r="F182">
        <f t="shared" si="34"/>
        <v>11.860191777654059</v>
      </c>
      <c r="G182">
        <f>SUM($F$162:F197)</f>
        <v>302.1271844997774</v>
      </c>
      <c r="H182">
        <v>71.013000000000005</v>
      </c>
      <c r="I182" t="s">
        <v>7</v>
      </c>
      <c r="J182">
        <v>539</v>
      </c>
      <c r="K182">
        <v>1.1599999999999999</v>
      </c>
      <c r="L182" s="34">
        <v>3.1000000000000001</v>
      </c>
    </row>
    <row r="183">
      <c r="A183">
        <v>1162</v>
      </c>
      <c r="B183">
        <v>2193851.1669999999</v>
      </c>
      <c r="C183">
        <v>6702420.7699999996</v>
      </c>
      <c r="D183">
        <f t="shared" si="32"/>
        <v>-6.453999999910593</v>
      </c>
      <c r="E183">
        <f t="shared" si="33"/>
        <v>3.4469999996945262</v>
      </c>
      <c r="F183">
        <f t="shared" si="34"/>
        <v>7.3168247892607079</v>
      </c>
      <c r="G183">
        <f>SUM($F$163:F197)</f>
        <v>291.8021705044747</v>
      </c>
      <c r="H183">
        <v>70.741</v>
      </c>
      <c r="I183" t="s">
        <v>7</v>
      </c>
      <c r="J183">
        <v>539</v>
      </c>
      <c r="K183">
        <v>1.3799999999999999</v>
      </c>
      <c r="L183" s="34">
        <v>3.4120320000000004</v>
      </c>
    </row>
    <row r="184">
      <c r="A184">
        <v>1163</v>
      </c>
      <c r="B184">
        <v>2193846.0099999998</v>
      </c>
      <c r="C184">
        <v>6702425.2230000002</v>
      </c>
      <c r="D184">
        <f t="shared" si="32"/>
        <v>-5.1570000001229346</v>
      </c>
      <c r="E184">
        <f t="shared" si="33"/>
        <v>4.4530000006780028</v>
      </c>
      <c r="F184">
        <f t="shared" si="34"/>
        <v>6.8135055593509453</v>
      </c>
      <c r="G184">
        <f>SUM($F$164:F197)</f>
        <v>282.81521189750191</v>
      </c>
      <c r="H184">
        <v>70.524000000000001</v>
      </c>
      <c r="I184" t="s">
        <v>7</v>
      </c>
      <c r="J184">
        <v>539</v>
      </c>
      <c r="K184">
        <v>1.27</v>
      </c>
      <c r="L184" s="34">
        <v>3.6000000000000001</v>
      </c>
    </row>
    <row r="185">
      <c r="A185">
        <v>1164</v>
      </c>
      <c r="B185">
        <v>2193839.7969999998</v>
      </c>
      <c r="C185">
        <v>6702429.9340000004</v>
      </c>
      <c r="D185">
        <f t="shared" si="32"/>
        <v>-6.2129999999888241</v>
      </c>
      <c r="E185">
        <f t="shared" si="33"/>
        <v>4.7110000001266599</v>
      </c>
      <c r="F185">
        <f t="shared" si="34"/>
        <v>7.7971077971934255</v>
      </c>
      <c r="G185">
        <f>SUM($F$165:F197)</f>
        <v>271.55587297391406</v>
      </c>
      <c r="H185">
        <v>70.119</v>
      </c>
      <c r="I185" t="s">
        <v>7</v>
      </c>
      <c r="J185">
        <v>539</v>
      </c>
      <c r="K185">
        <v>1.4099999999999999</v>
      </c>
      <c r="L185" s="34">
        <v>4.0353840000000005</v>
      </c>
    </row>
    <row r="186">
      <c r="A186" t="s">
        <v>29</v>
      </c>
      <c r="B186">
        <v>2194297.8300000001</v>
      </c>
      <c r="C186">
        <v>6703230.0060000001</v>
      </c>
      <c r="H186">
        <v>75.331000000000003</v>
      </c>
      <c r="I186" t="s">
        <v>7</v>
      </c>
      <c r="J186">
        <v>539</v>
      </c>
      <c r="L186" s="34"/>
    </row>
    <row r="187">
      <c r="A187" t="s">
        <v>30</v>
      </c>
      <c r="B187">
        <v>2194384.2370000002</v>
      </c>
      <c r="C187">
        <v>6703220.4790000003</v>
      </c>
      <c r="H187">
        <v>75.097999999999999</v>
      </c>
      <c r="I187" t="s">
        <v>7</v>
      </c>
      <c r="J187">
        <v>539</v>
      </c>
      <c r="L187" s="34"/>
    </row>
    <row r="188">
      <c r="A188">
        <v>1165</v>
      </c>
      <c r="B188">
        <v>2194301.5550000002</v>
      </c>
      <c r="C188">
        <v>6703230.4740000004</v>
      </c>
      <c r="D188">
        <f>B188-B186</f>
        <v>3.7250000000931323</v>
      </c>
      <c r="E188">
        <f>C188-C186</f>
        <v>0.46800000034272671</v>
      </c>
      <c r="F188">
        <f t="shared" ref="F188:F197" si="35">(D188^2+E188^2)^(0.5)</f>
        <v>3.7542840863491707</v>
      </c>
      <c r="G188">
        <f>SUM($F$166:F210)</f>
        <v>377.04900002099487</v>
      </c>
      <c r="H188">
        <v>74.475999999999999</v>
      </c>
      <c r="I188" t="s">
        <v>7</v>
      </c>
      <c r="J188">
        <v>539</v>
      </c>
      <c r="K188">
        <v>0.97999999999999998</v>
      </c>
      <c r="L188" s="34">
        <v>0.72177600000000008</v>
      </c>
    </row>
    <row r="189">
      <c r="A189">
        <v>1166</v>
      </c>
      <c r="B189">
        <v>2194310.1430000002</v>
      </c>
      <c r="C189">
        <v>6703229.3399999999</v>
      </c>
      <c r="D189">
        <f t="shared" ref="D189:D197" si="36">B189-B188</f>
        <v>8.5879999999888241</v>
      </c>
      <c r="E189">
        <f t="shared" ref="E189:E197" si="37">C189-C188</f>
        <v>-1.1340000005438924</v>
      </c>
      <c r="F189">
        <f t="shared" si="35"/>
        <v>8.662545815234779</v>
      </c>
      <c r="G189">
        <f>SUM($F$167:F210)</f>
        <v>366.3560902206633</v>
      </c>
      <c r="H189">
        <v>74.168999999999997</v>
      </c>
      <c r="I189" t="s">
        <v>7</v>
      </c>
      <c r="J189">
        <v>539</v>
      </c>
      <c r="K189">
        <v>2.3100000000000001</v>
      </c>
      <c r="L189" s="34">
        <v>0.80000000000000004</v>
      </c>
    </row>
    <row r="190">
      <c r="A190">
        <v>1167</v>
      </c>
      <c r="B190">
        <v>2194318.8939999999</v>
      </c>
      <c r="C190">
        <v>6703229.3320000004</v>
      </c>
      <c r="D190">
        <f t="shared" si="36"/>
        <v>8.7509999996982515</v>
      </c>
      <c r="E190">
        <f t="shared" si="37"/>
        <v>-0.0079999994486570358</v>
      </c>
      <c r="F190">
        <f t="shared" si="35"/>
        <v>8.7510036564219291</v>
      </c>
      <c r="G190">
        <f>SUM($F$168:F210)</f>
        <v>357.69265250788823</v>
      </c>
      <c r="H190">
        <v>73.760000000000005</v>
      </c>
      <c r="I190" t="s">
        <v>7</v>
      </c>
      <c r="J190">
        <v>539</v>
      </c>
      <c r="K190">
        <v>3.6699999999999999</v>
      </c>
      <c r="L190" s="34">
        <v>1.2795120000000002</v>
      </c>
    </row>
    <row r="191">
      <c r="A191">
        <v>1168</v>
      </c>
      <c r="B191">
        <v>2194328.1719999998</v>
      </c>
      <c r="C191">
        <v>6703229.1710000001</v>
      </c>
      <c r="D191">
        <f t="shared" si="36"/>
        <v>9.2779999999329448</v>
      </c>
      <c r="E191">
        <f t="shared" si="37"/>
        <v>-0.16100000031292439</v>
      </c>
      <c r="F191">
        <f t="shared" si="35"/>
        <v>9.2793968014551726</v>
      </c>
      <c r="G191">
        <f>SUM($F$169:F210)</f>
        <v>347.56470755388415</v>
      </c>
      <c r="H191">
        <v>73.456999999999994</v>
      </c>
      <c r="I191" t="s">
        <v>7</v>
      </c>
      <c r="J191">
        <v>539</v>
      </c>
      <c r="K191">
        <v>2.8500000000000001</v>
      </c>
      <c r="L191" s="34">
        <v>1.2</v>
      </c>
    </row>
    <row r="192">
      <c r="A192">
        <v>1169</v>
      </c>
      <c r="B192">
        <v>2194334.449</v>
      </c>
      <c r="C192">
        <v>6703229.051</v>
      </c>
      <c r="D192">
        <f t="shared" si="36"/>
        <v>6.2770000002346933</v>
      </c>
      <c r="E192">
        <f t="shared" si="37"/>
        <v>-0.12000000011175871</v>
      </c>
      <c r="F192">
        <f t="shared" si="35"/>
        <v>6.2781469402183605</v>
      </c>
      <c r="G192">
        <f>SUM($F$170:F210)</f>
        <v>338.21300348443322</v>
      </c>
      <c r="H192">
        <v>73.364999999999995</v>
      </c>
      <c r="I192" t="s">
        <v>7</v>
      </c>
      <c r="J192">
        <v>539</v>
      </c>
      <c r="K192">
        <v>4.9500000000000002</v>
      </c>
      <c r="L192" s="34">
        <v>1.6404000000000001</v>
      </c>
    </row>
    <row r="193">
      <c r="A193">
        <v>1170</v>
      </c>
      <c r="B193">
        <v>2194343.8480000002</v>
      </c>
      <c r="C193">
        <v>6703228.7249999996</v>
      </c>
      <c r="D193">
        <f t="shared" si="36"/>
        <v>9.3990000002086163</v>
      </c>
      <c r="E193">
        <f t="shared" si="37"/>
        <v>-0.32600000035017729</v>
      </c>
      <c r="F193">
        <f t="shared" si="35"/>
        <v>9.4046518810719348</v>
      </c>
      <c r="G193">
        <f>SUM($F$171:F210)</f>
        <v>327.83671031166818</v>
      </c>
      <c r="H193">
        <v>73.125</v>
      </c>
      <c r="I193" t="s">
        <v>7</v>
      </c>
      <c r="J193">
        <v>539</v>
      </c>
      <c r="K193">
        <v>4.3700000000000001</v>
      </c>
      <c r="L193" s="34">
        <v>2.1000000000000001</v>
      </c>
    </row>
    <row r="194">
      <c r="A194">
        <v>1171</v>
      </c>
      <c r="B194">
        <v>2194352.1919999998</v>
      </c>
      <c r="C194">
        <v>6703228.4009999996</v>
      </c>
      <c r="D194">
        <f t="shared" si="36"/>
        <v>8.3439999995753169</v>
      </c>
      <c r="E194">
        <f t="shared" si="37"/>
        <v>-0.32400000002235174</v>
      </c>
      <c r="F194">
        <f t="shared" si="35"/>
        <v>8.3502881383175858</v>
      </c>
      <c r="G194">
        <f>SUM($F$172:F210)</f>
        <v>319.04660803715353</v>
      </c>
      <c r="H194">
        <v>73.177999999999997</v>
      </c>
      <c r="I194" t="s">
        <v>7</v>
      </c>
      <c r="J194">
        <v>539</v>
      </c>
      <c r="K194">
        <v>4.9199999999999999</v>
      </c>
      <c r="L194" s="34">
        <v>2.1653280000000001</v>
      </c>
    </row>
    <row r="195">
      <c r="A195">
        <v>1172</v>
      </c>
      <c r="B195">
        <v>2194361.6740000001</v>
      </c>
      <c r="C195">
        <v>6703227.0930000003</v>
      </c>
      <c r="D195">
        <f t="shared" si="36"/>
        <v>9.4820000003091991</v>
      </c>
      <c r="E195">
        <f t="shared" si="37"/>
        <v>-1.3079999992623925</v>
      </c>
      <c r="F195">
        <f t="shared" si="35"/>
        <v>9.5717912641226182</v>
      </c>
      <c r="G195">
        <f>SUM($F$173:F210)</f>
        <v>308.92237744861336</v>
      </c>
      <c r="H195">
        <v>73.593999999999994</v>
      </c>
      <c r="I195" t="s">
        <v>7</v>
      </c>
      <c r="J195">
        <v>539</v>
      </c>
      <c r="K195">
        <v>4.0999999999999996</v>
      </c>
      <c r="L195" s="34">
        <v>1.5</v>
      </c>
    </row>
    <row r="196">
      <c r="A196">
        <v>1173</v>
      </c>
      <c r="B196">
        <v>2194369.2560000001</v>
      </c>
      <c r="C196">
        <v>6703227.2769999998</v>
      </c>
      <c r="D196">
        <f t="shared" si="36"/>
        <v>7.5819999999366701</v>
      </c>
      <c r="E196">
        <f t="shared" si="37"/>
        <v>0.18399999942630529</v>
      </c>
      <c r="F196">
        <f t="shared" si="35"/>
        <v>7.5842323275878458</v>
      </c>
      <c r="G196">
        <f>SUM($F$174:F210)</f>
        <v>299.07894750807611</v>
      </c>
      <c r="H196">
        <v>73.546000000000006</v>
      </c>
      <c r="I196" t="s">
        <v>7</v>
      </c>
      <c r="J196">
        <v>539</v>
      </c>
      <c r="K196">
        <v>3.5600000000000001</v>
      </c>
      <c r="L196" s="34">
        <v>1.5</v>
      </c>
    </row>
    <row r="197">
      <c r="A197">
        <v>1174</v>
      </c>
      <c r="B197">
        <v>2194381.3599999999</v>
      </c>
      <c r="C197">
        <v>6703225.4189999998</v>
      </c>
      <c r="D197">
        <f t="shared" si="36"/>
        <v>12.103999999817461</v>
      </c>
      <c r="E197">
        <f t="shared" si="37"/>
        <v>-1.8580000000074506</v>
      </c>
      <c r="F197">
        <f t="shared" si="35"/>
        <v>12.245773964744277</v>
      </c>
      <c r="G197">
        <f>SUM($F$175:F210)</f>
        <v>288.84002349228598</v>
      </c>
      <c r="H197">
        <v>74.629999999999995</v>
      </c>
      <c r="I197" t="s">
        <v>7</v>
      </c>
      <c r="J197">
        <v>539</v>
      </c>
      <c r="K197">
        <v>1.3799999999999999</v>
      </c>
      <c r="L197" s="34">
        <v>0.36088800000000004</v>
      </c>
    </row>
    <row r="198">
      <c r="A198" t="s">
        <v>31</v>
      </c>
      <c r="B198">
        <v>2206847.2170000002</v>
      </c>
      <c r="C198">
        <v>6750291.8420000002</v>
      </c>
      <c r="H198">
        <v>196.70400000000001</v>
      </c>
      <c r="I198" t="s">
        <v>8</v>
      </c>
      <c r="J198">
        <v>797</v>
      </c>
      <c r="L198" s="34"/>
    </row>
    <row r="199">
      <c r="A199" t="s">
        <v>32</v>
      </c>
      <c r="B199">
        <v>2207124.2179999999</v>
      </c>
      <c r="C199">
        <v>6750280.858</v>
      </c>
      <c r="H199">
        <v>196.59299999999999</v>
      </c>
      <c r="I199" t="s">
        <v>8</v>
      </c>
      <c r="J199">
        <v>797</v>
      </c>
      <c r="L199" s="34"/>
    </row>
    <row r="200">
      <c r="A200">
        <v>1175</v>
      </c>
      <c r="B200">
        <v>2206849.7489999998</v>
      </c>
      <c r="C200">
        <v>6750293.0590000004</v>
      </c>
      <c r="D200">
        <f>B200-B198</f>
        <v>2.5319999996572733</v>
      </c>
      <c r="E200">
        <f>C200-C198</f>
        <v>1.2170000001788139</v>
      </c>
      <c r="F200">
        <f t="shared" ref="F200:F224" si="38">(D200^2+E200^2)^(0.5)</f>
        <v>2.8092904795872684</v>
      </c>
      <c r="G200">
        <f>F200</f>
        <v>2.8092904795872684</v>
      </c>
      <c r="H200">
        <v>196.56999999999999</v>
      </c>
      <c r="I200" t="s">
        <v>8</v>
      </c>
      <c r="J200">
        <v>797</v>
      </c>
      <c r="K200">
        <v>0.68999999999999995</v>
      </c>
      <c r="L200" s="34">
        <v>0.8530080000000001</v>
      </c>
    </row>
    <row r="201">
      <c r="A201">
        <v>1176</v>
      </c>
      <c r="B201">
        <v>2206859.4300000002</v>
      </c>
      <c r="C201">
        <v>6750293.3509999998</v>
      </c>
      <c r="D201">
        <f t="shared" ref="D201:D224" si="39">B201-B200</f>
        <v>9.6810000003315508</v>
      </c>
      <c r="E201">
        <f t="shared" ref="E201:E224" si="40">C201-C200</f>
        <v>0.29199999943375587</v>
      </c>
      <c r="F201">
        <f t="shared" si="38"/>
        <v>9.6854026765069907</v>
      </c>
      <c r="G201">
        <f>SUM($F$177:F224)</f>
        <v>432.71611659513218</v>
      </c>
      <c r="H201">
        <v>195.56399999999999</v>
      </c>
      <c r="I201" t="s">
        <v>8</v>
      </c>
      <c r="J201">
        <v>797</v>
      </c>
      <c r="K201">
        <v>1.71</v>
      </c>
      <c r="L201" s="34">
        <v>1.7</v>
      </c>
    </row>
    <row r="202">
      <c r="A202">
        <v>1177</v>
      </c>
      <c r="B202">
        <v>2206869.8289999999</v>
      </c>
      <c r="C202">
        <v>6750293.7620000001</v>
      </c>
      <c r="D202">
        <f t="shared" si="39"/>
        <v>10.398999999742955</v>
      </c>
      <c r="E202">
        <f t="shared" si="40"/>
        <v>0.41100000031292439</v>
      </c>
      <c r="F202">
        <f t="shared" si="38"/>
        <v>10.407118813336917</v>
      </c>
      <c r="G202">
        <f>SUM($F$178:F224)</f>
        <v>423.82545987033302</v>
      </c>
      <c r="H202">
        <v>196.22999999999999</v>
      </c>
      <c r="I202" t="s">
        <v>8</v>
      </c>
      <c r="J202">
        <v>797</v>
      </c>
      <c r="K202">
        <v>1.71</v>
      </c>
      <c r="L202" s="34">
        <v>1.2795120000000002</v>
      </c>
    </row>
    <row r="203">
      <c r="A203">
        <v>1178</v>
      </c>
      <c r="B203">
        <v>2206883.4980000001</v>
      </c>
      <c r="C203">
        <v>6750294.4309999999</v>
      </c>
      <c r="D203">
        <f t="shared" si="39"/>
        <v>13.669000000227243</v>
      </c>
      <c r="E203">
        <f t="shared" si="40"/>
        <v>0.66899999976158142</v>
      </c>
      <c r="F203">
        <f t="shared" si="38"/>
        <v>13.685361595730431</v>
      </c>
      <c r="G203">
        <f>SUM($F$179:F224)</f>
        <v>416.33263416809018</v>
      </c>
      <c r="H203">
        <v>196.245</v>
      </c>
      <c r="I203" t="s">
        <v>8</v>
      </c>
      <c r="J203">
        <v>797</v>
      </c>
      <c r="K203">
        <v>2.25</v>
      </c>
      <c r="L203" s="34">
        <v>1</v>
      </c>
    </row>
    <row r="204">
      <c r="A204">
        <v>1179</v>
      </c>
      <c r="B204">
        <v>2206894.693</v>
      </c>
      <c r="C204">
        <v>6750293.5199999996</v>
      </c>
      <c r="D204">
        <f t="shared" si="39"/>
        <v>11.194999999832362</v>
      </c>
      <c r="E204">
        <f t="shared" si="40"/>
        <v>-0.91100000031292439</v>
      </c>
      <c r="F204">
        <f t="shared" si="38"/>
        <v>11.232005430768663</v>
      </c>
      <c r="G204">
        <f>SUM($F$180:F224)</f>
        <v>407.50202003317554</v>
      </c>
      <c r="H204">
        <v>195.55799999999999</v>
      </c>
      <c r="I204" t="s">
        <v>8</v>
      </c>
      <c r="J204">
        <v>797</v>
      </c>
      <c r="K204">
        <v>2.4300000000000002</v>
      </c>
      <c r="L204" s="34">
        <v>1.6075920000000001</v>
      </c>
    </row>
    <row r="205">
      <c r="A205">
        <v>1180</v>
      </c>
      <c r="B205">
        <v>2206906.2370000002</v>
      </c>
      <c r="C205">
        <v>6750293.1129999999</v>
      </c>
      <c r="D205">
        <f t="shared" si="39"/>
        <v>11.544000000227243</v>
      </c>
      <c r="E205">
        <f t="shared" si="40"/>
        <v>-0.40699999965727329</v>
      </c>
      <c r="F205">
        <f t="shared" si="38"/>
        <v>11.551172451529222</v>
      </c>
      <c r="G205">
        <f>SUM($F$181:F224)</f>
        <v>398.28726159895791</v>
      </c>
      <c r="H205">
        <v>195.01300000000001</v>
      </c>
      <c r="I205" t="s">
        <v>8</v>
      </c>
      <c r="J205">
        <v>797</v>
      </c>
      <c r="K205">
        <v>2.4300000000000002</v>
      </c>
      <c r="L205" s="34">
        <v>2.2309440000000005</v>
      </c>
    </row>
    <row r="206">
      <c r="A206">
        <v>1181</v>
      </c>
      <c r="B206">
        <v>2206917.3960000002</v>
      </c>
      <c r="C206">
        <v>6750292.2230000002</v>
      </c>
      <c r="D206">
        <f t="shared" si="39"/>
        <v>11.158999999985099</v>
      </c>
      <c r="E206">
        <f t="shared" si="40"/>
        <v>-0.88999999966472387</v>
      </c>
      <c r="F206">
        <f t="shared" si="38"/>
        <v>11.194435269323355</v>
      </c>
      <c r="G206">
        <f>SUM($F$182:F224)</f>
        <v>387.5696576691609</v>
      </c>
      <c r="H206">
        <v>194.93100000000001</v>
      </c>
      <c r="I206" t="s">
        <v>8</v>
      </c>
      <c r="J206">
        <v>797</v>
      </c>
      <c r="K206">
        <v>2.5299999999999998</v>
      </c>
      <c r="L206" s="34">
        <v>2.3999999999999999</v>
      </c>
    </row>
    <row r="207">
      <c r="A207">
        <v>1182</v>
      </c>
      <c r="B207">
        <v>2206926.4819999998</v>
      </c>
      <c r="C207">
        <v>6750292.3969999999</v>
      </c>
      <c r="D207">
        <f t="shared" si="39"/>
        <v>9.0859999996609986</v>
      </c>
      <c r="E207">
        <f t="shared" si="40"/>
        <v>0.17399999964982271</v>
      </c>
      <c r="F207">
        <f t="shared" si="38"/>
        <v>9.0876659266127184</v>
      </c>
      <c r="G207">
        <f>SUM($F$183:F224)</f>
        <v>375.70946589150691</v>
      </c>
      <c r="H207">
        <v>193.898</v>
      </c>
      <c r="I207" t="s">
        <v>8</v>
      </c>
      <c r="J207">
        <v>797</v>
      </c>
      <c r="K207">
        <v>2.8199999999999998</v>
      </c>
      <c r="L207" s="34">
        <v>3.3464160000000001</v>
      </c>
    </row>
    <row r="208">
      <c r="A208">
        <v>1183</v>
      </c>
      <c r="B208">
        <v>2206939.7319999998</v>
      </c>
      <c r="C208">
        <v>6750292.4299999997</v>
      </c>
      <c r="D208">
        <f t="shared" si="39"/>
        <v>13.25</v>
      </c>
      <c r="E208">
        <f t="shared" si="40"/>
        <v>0.032999999821186066</v>
      </c>
      <c r="F208">
        <f t="shared" si="38"/>
        <v>13.250041094275451</v>
      </c>
      <c r="G208">
        <f>SUM($F$184:F224)</f>
        <v>368.39264110224622</v>
      </c>
      <c r="H208">
        <v>193.947</v>
      </c>
      <c r="I208" t="s">
        <v>8</v>
      </c>
      <c r="J208">
        <v>797</v>
      </c>
      <c r="K208">
        <v>3.0099999999999998</v>
      </c>
      <c r="L208" s="34">
        <v>3.2000000000000002</v>
      </c>
    </row>
    <row r="209">
      <c r="A209">
        <v>1184</v>
      </c>
      <c r="B209">
        <v>2206950.6430000002</v>
      </c>
      <c r="C209">
        <v>6750291.3590000002</v>
      </c>
      <c r="D209">
        <f t="shared" si="39"/>
        <v>10.911000000312924</v>
      </c>
      <c r="E209">
        <f t="shared" si="40"/>
        <v>-1.0709999995306134</v>
      </c>
      <c r="F209">
        <f t="shared" si="38"/>
        <v>10.963437508638576</v>
      </c>
      <c r="G209">
        <f>SUM($F$185:F224)</f>
        <v>361.57913554289524</v>
      </c>
      <c r="H209">
        <v>194.822</v>
      </c>
      <c r="I209" t="s">
        <v>8</v>
      </c>
      <c r="J209">
        <v>797</v>
      </c>
      <c r="K209">
        <v>2.5600000000000001</v>
      </c>
      <c r="L209" s="34">
        <v>2.2965599999999999</v>
      </c>
    </row>
    <row r="210">
      <c r="A210">
        <v>1185</v>
      </c>
      <c r="B210">
        <v>2206961.0279999999</v>
      </c>
      <c r="C210">
        <v>6750290.0329999998</v>
      </c>
      <c r="D210">
        <f t="shared" si="39"/>
        <v>10.384999999776483</v>
      </c>
      <c r="E210">
        <f t="shared" si="40"/>
        <v>-1.3260000003501773</v>
      </c>
      <c r="F210">
        <f t="shared" si="38"/>
        <v>10.469312345912993</v>
      </c>
      <c r="G210">
        <f>SUM($F$186:F224)</f>
        <v>353.78202774570184</v>
      </c>
      <c r="H210">
        <v>195.08199999999999</v>
      </c>
      <c r="I210" t="s">
        <v>8</v>
      </c>
      <c r="J210">
        <v>797</v>
      </c>
      <c r="K210">
        <v>3.1200000000000001</v>
      </c>
      <c r="L210" s="34">
        <v>2</v>
      </c>
    </row>
    <row r="211">
      <c r="A211">
        <v>1186</v>
      </c>
      <c r="B211">
        <v>2206971.6570000001</v>
      </c>
      <c r="C211">
        <v>6750290.3880000003</v>
      </c>
      <c r="D211">
        <f t="shared" si="39"/>
        <v>10.62900000018999</v>
      </c>
      <c r="E211">
        <f t="shared" si="40"/>
        <v>0.35500000044703484</v>
      </c>
      <c r="F211">
        <f t="shared" si="38"/>
        <v>10.634926704230557</v>
      </c>
      <c r="G211">
        <f>SUM($F$187:F224)</f>
        <v>353.78202774570184</v>
      </c>
      <c r="H211">
        <v>195.542</v>
      </c>
      <c r="I211" t="s">
        <v>8</v>
      </c>
      <c r="J211">
        <v>797</v>
      </c>
      <c r="K211">
        <v>2.9900000000000002</v>
      </c>
      <c r="L211" s="34">
        <v>2.13252</v>
      </c>
    </row>
    <row r="212">
      <c r="A212">
        <v>1187</v>
      </c>
      <c r="B212">
        <v>2206984.7280000001</v>
      </c>
      <c r="C212">
        <v>6750290.9239999996</v>
      </c>
      <c r="D212">
        <f t="shared" si="39"/>
        <v>13.070999999996275</v>
      </c>
      <c r="E212">
        <f t="shared" si="40"/>
        <v>0.53599999938160181</v>
      </c>
      <c r="F212">
        <f t="shared" si="38"/>
        <v>13.081985208646266</v>
      </c>
      <c r="G212">
        <f>SUM($F$188:F224)</f>
        <v>353.78202774570184</v>
      </c>
      <c r="H212">
        <v>195.637</v>
      </c>
      <c r="I212" t="s">
        <v>8</v>
      </c>
      <c r="J212">
        <v>797</v>
      </c>
      <c r="K212">
        <v>3.1800000000000002</v>
      </c>
      <c r="L212" s="34">
        <v>1.7</v>
      </c>
    </row>
    <row r="213">
      <c r="A213">
        <v>1188</v>
      </c>
      <c r="B213">
        <v>2206994.2829999998</v>
      </c>
      <c r="C213">
        <v>6750289.9639999997</v>
      </c>
      <c r="D213">
        <f t="shared" si="39"/>
        <v>9.5549999997019768</v>
      </c>
      <c r="E213">
        <f t="shared" si="40"/>
        <v>-0.9599999999627471</v>
      </c>
      <c r="F213">
        <f t="shared" si="38"/>
        <v>9.6031049663238228</v>
      </c>
      <c r="G213">
        <f>SUM($F$189:F224)</f>
        <v>350.02774365935267</v>
      </c>
      <c r="H213">
        <v>195.34800000000001</v>
      </c>
      <c r="I213" t="s">
        <v>8</v>
      </c>
      <c r="J213">
        <v>797</v>
      </c>
      <c r="K213">
        <v>2.5600000000000001</v>
      </c>
      <c r="L213" s="34">
        <v>1.7388240000000001</v>
      </c>
    </row>
    <row r="214">
      <c r="A214">
        <v>1189</v>
      </c>
      <c r="B214">
        <v>2207006.2590000001</v>
      </c>
      <c r="C214">
        <v>6750289.8430000003</v>
      </c>
      <c r="D214">
        <f t="shared" si="39"/>
        <v>11.976000000257045</v>
      </c>
      <c r="E214">
        <f t="shared" si="40"/>
        <v>-0.12099999934434891</v>
      </c>
      <c r="F214">
        <f t="shared" si="38"/>
        <v>11.976611248846565</v>
      </c>
      <c r="G214">
        <f>SUM($F$190:F224)</f>
        <v>341.36519784411792</v>
      </c>
      <c r="H214">
        <v>196.38999999999999</v>
      </c>
      <c r="I214" t="s">
        <v>8</v>
      </c>
      <c r="J214">
        <v>797</v>
      </c>
      <c r="K214">
        <v>1.27</v>
      </c>
      <c r="L214" s="34">
        <v>1</v>
      </c>
    </row>
    <row r="215">
      <c r="A215">
        <v>1190</v>
      </c>
      <c r="B215">
        <v>2207016.0899999999</v>
      </c>
      <c r="C215">
        <v>6750289.7180000003</v>
      </c>
      <c r="D215">
        <f t="shared" si="39"/>
        <v>9.8309999997727573</v>
      </c>
      <c r="E215">
        <f t="shared" si="40"/>
        <v>-0.125</v>
      </c>
      <c r="F215">
        <f t="shared" si="38"/>
        <v>9.8317946477503249</v>
      </c>
      <c r="G215">
        <f>SUM($F$191:F224)</f>
        <v>332.61419418769594</v>
      </c>
      <c r="H215">
        <v>196.74600000000001</v>
      </c>
      <c r="I215" t="s">
        <v>8</v>
      </c>
      <c r="J215">
        <v>797</v>
      </c>
      <c r="K215">
        <v>0.56000000000000005</v>
      </c>
      <c r="L215" s="34">
        <v>0.39369599999999999</v>
      </c>
    </row>
    <row r="216">
      <c r="A216">
        <v>1191</v>
      </c>
      <c r="B216">
        <v>2207028.6889999998</v>
      </c>
      <c r="C216">
        <v>6750290.6090000002</v>
      </c>
      <c r="D216">
        <f t="shared" si="39"/>
        <v>12.598999999929219</v>
      </c>
      <c r="E216">
        <f t="shared" si="40"/>
        <v>0.89099999982863665</v>
      </c>
      <c r="F216">
        <f t="shared" si="38"/>
        <v>12.630466420441927</v>
      </c>
      <c r="G216">
        <f>SUM($F$192:F224)</f>
        <v>323.33479738624084</v>
      </c>
      <c r="H216">
        <v>196.81800000000001</v>
      </c>
      <c r="I216" t="s">
        <v>8</v>
      </c>
      <c r="J216">
        <v>797</v>
      </c>
      <c r="K216">
        <v>0.39000000000000001</v>
      </c>
      <c r="L216" s="34">
        <v>0.42650400000000005</v>
      </c>
    </row>
    <row r="217">
      <c r="A217">
        <v>1192</v>
      </c>
      <c r="B217">
        <v>2207041.3900000001</v>
      </c>
      <c r="C217">
        <v>6750290.8499999996</v>
      </c>
      <c r="D217">
        <f t="shared" si="39"/>
        <v>12.701000000350177</v>
      </c>
      <c r="E217">
        <f t="shared" si="40"/>
        <v>0.24099999945610762</v>
      </c>
      <c r="F217">
        <f t="shared" si="38"/>
        <v>12.703286268073827</v>
      </c>
      <c r="G217">
        <f>SUM($F$193:F224)</f>
        <v>317.05665044602245</v>
      </c>
      <c r="H217">
        <v>196.56299999999999</v>
      </c>
      <c r="I217" t="s">
        <v>8</v>
      </c>
      <c r="J217">
        <v>797</v>
      </c>
      <c r="K217">
        <v>0.52000000000000002</v>
      </c>
      <c r="L217" s="34">
        <v>0.42650400000000005</v>
      </c>
    </row>
    <row r="218">
      <c r="A218">
        <v>1193</v>
      </c>
      <c r="B218">
        <v>2207052.2960000001</v>
      </c>
      <c r="C218">
        <v>6750291.1799999997</v>
      </c>
      <c r="D218">
        <f t="shared" si="39"/>
        <v>10.905999999959022</v>
      </c>
      <c r="E218">
        <f t="shared" si="40"/>
        <v>0.33000000007450581</v>
      </c>
      <c r="F218">
        <f t="shared" si="38"/>
        <v>10.910991522274928</v>
      </c>
      <c r="G218">
        <f>SUM($F$194:F224)</f>
        <v>307.65199856495053</v>
      </c>
      <c r="H218">
        <v>196.459</v>
      </c>
      <c r="I218" t="s">
        <v>8</v>
      </c>
      <c r="J218">
        <v>797</v>
      </c>
      <c r="K218">
        <v>0.97999999999999998</v>
      </c>
      <c r="L218" s="34">
        <v>0.65616000000000008</v>
      </c>
    </row>
    <row r="219">
      <c r="A219">
        <v>1194</v>
      </c>
      <c r="B219">
        <v>2207063.5419999999</v>
      </c>
      <c r="C219">
        <v>6750291.9780000001</v>
      </c>
      <c r="D219">
        <f t="shared" si="39"/>
        <v>11.24599999981001</v>
      </c>
      <c r="E219">
        <f t="shared" si="40"/>
        <v>0.79800000041723251</v>
      </c>
      <c r="F219">
        <f t="shared" si="38"/>
        <v>11.274276916786844</v>
      </c>
      <c r="G219">
        <f>SUM($F$195:F224)</f>
        <v>299.30171042663295</v>
      </c>
      <c r="H219">
        <v>195.971</v>
      </c>
      <c r="I219" t="s">
        <v>8</v>
      </c>
      <c r="J219">
        <v>797</v>
      </c>
      <c r="K219">
        <v>0.89000000000000001</v>
      </c>
      <c r="L219" s="34">
        <v>1.2</v>
      </c>
    </row>
    <row r="220">
      <c r="A220">
        <v>1195</v>
      </c>
      <c r="B220">
        <v>2207073.5789999999</v>
      </c>
      <c r="C220">
        <v>6750290.1220000004</v>
      </c>
      <c r="D220">
        <f t="shared" si="39"/>
        <v>10.037000000011176</v>
      </c>
      <c r="E220">
        <f t="shared" si="40"/>
        <v>-1.855999999679625</v>
      </c>
      <c r="F220">
        <f t="shared" si="38"/>
        <v>10.207159497090025</v>
      </c>
      <c r="G220">
        <f>SUM($F$196:F224)</f>
        <v>289.72991916251038</v>
      </c>
      <c r="H220">
        <v>195.559</v>
      </c>
      <c r="I220" t="s">
        <v>8</v>
      </c>
      <c r="J220">
        <v>797</v>
      </c>
      <c r="K220">
        <v>1.05</v>
      </c>
      <c r="L220" s="34">
        <v>1.541976</v>
      </c>
    </row>
    <row r="221">
      <c r="A221">
        <v>1196</v>
      </c>
      <c r="B221">
        <v>2207085.0060000001</v>
      </c>
      <c r="C221">
        <v>6750288.9869999997</v>
      </c>
      <c r="D221">
        <f t="shared" si="39"/>
        <v>11.427000000141561</v>
      </c>
      <c r="E221">
        <f t="shared" si="40"/>
        <v>-1.1350000007078052</v>
      </c>
      <c r="F221">
        <f t="shared" si="38"/>
        <v>11.483229249860074</v>
      </c>
      <c r="G221">
        <f>SUM($F$197:F224)</f>
        <v>282.14568683492251</v>
      </c>
      <c r="H221">
        <v>195.453</v>
      </c>
      <c r="I221" t="s">
        <v>8</v>
      </c>
      <c r="J221">
        <v>797</v>
      </c>
      <c r="K221">
        <v>1.0600000000000001</v>
      </c>
      <c r="L221" s="34">
        <v>1.6000000000000001</v>
      </c>
    </row>
    <row r="222">
      <c r="A222">
        <v>1197</v>
      </c>
      <c r="B222">
        <v>2207094.0359999998</v>
      </c>
      <c r="C222">
        <v>6750287.1330000004</v>
      </c>
      <c r="D222">
        <f t="shared" si="39"/>
        <v>9.029999999795109</v>
      </c>
      <c r="E222">
        <f t="shared" si="40"/>
        <v>-1.8539999993517995</v>
      </c>
      <c r="F222">
        <f t="shared" si="38"/>
        <v>9.2183629779856329</v>
      </c>
      <c r="G222">
        <f>SUM($F$198:F224)</f>
        <v>269.89991287017818</v>
      </c>
      <c r="H222">
        <v>195.15600000000001</v>
      </c>
      <c r="I222" t="s">
        <v>8</v>
      </c>
      <c r="J222">
        <v>797</v>
      </c>
      <c r="K222">
        <v>0.81999999999999995</v>
      </c>
      <c r="L222" s="34">
        <v>2.0340959999999999</v>
      </c>
    </row>
    <row r="223">
      <c r="A223">
        <v>1198</v>
      </c>
      <c r="B223">
        <v>2207105.7629999998</v>
      </c>
      <c r="C223">
        <v>6750285.6979999999</v>
      </c>
      <c r="D223">
        <f t="shared" si="39"/>
        <v>11.726999999955297</v>
      </c>
      <c r="E223">
        <f t="shared" si="40"/>
        <v>-1.4350000005215406</v>
      </c>
      <c r="F223">
        <f t="shared" si="38"/>
        <v>11.814472226910873</v>
      </c>
      <c r="G223">
        <f>SUM($F$199:F224)</f>
        <v>269.89991287017818</v>
      </c>
      <c r="H223">
        <v>196.005</v>
      </c>
      <c r="I223" t="s">
        <v>8</v>
      </c>
      <c r="J223">
        <v>797</v>
      </c>
      <c r="K223">
        <v>0.51000000000000001</v>
      </c>
      <c r="L223" s="34">
        <v>1.2</v>
      </c>
    </row>
    <row r="224">
      <c r="A224">
        <v>1199</v>
      </c>
      <c r="B224">
        <v>2207115.7510000002</v>
      </c>
      <c r="C224">
        <v>6750283.659</v>
      </c>
      <c r="D224">
        <f t="shared" si="39"/>
        <v>9.9880000003613532</v>
      </c>
      <c r="E224">
        <f t="shared" si="40"/>
        <v>-2.0389999998733401</v>
      </c>
      <c r="F224">
        <f t="shared" si="38"/>
        <v>10.194001422733953</v>
      </c>
      <c r="G224">
        <f>SUM($F$200:F224)</f>
        <v>269.89991287017818</v>
      </c>
      <c r="H224">
        <v>196.50399999999999</v>
      </c>
      <c r="I224" t="s">
        <v>8</v>
      </c>
      <c r="J224">
        <v>797</v>
      </c>
      <c r="K224">
        <v>0.26000000000000001</v>
      </c>
      <c r="L224" s="34">
        <v>0.62335200000000002</v>
      </c>
    </row>
    <row r="225">
      <c r="A225" t="s">
        <v>33</v>
      </c>
      <c r="B225">
        <v>2207028.8259999999</v>
      </c>
      <c r="C225">
        <v>6750621.159</v>
      </c>
      <c r="H225">
        <v>198.191</v>
      </c>
      <c r="I225" t="s">
        <v>8</v>
      </c>
      <c r="J225">
        <v>797</v>
      </c>
      <c r="L225" s="34"/>
    </row>
    <row r="226">
      <c r="A226">
        <v>1200</v>
      </c>
      <c r="B226">
        <v>2207024.1299999999</v>
      </c>
      <c r="C226">
        <v>6750623.4179999996</v>
      </c>
      <c r="D226">
        <f t="shared" ref="D226:D237" si="41">B226-B225</f>
        <v>-4.6959999999962747</v>
      </c>
      <c r="E226">
        <f t="shared" ref="E226:E237" si="42">C226-C225</f>
        <v>2.2589999996125698</v>
      </c>
      <c r="F226">
        <f t="shared" ref="F226:F237" si="43">(D226^2+E226^2)^(0.5)</f>
        <v>5.2110936470394202</v>
      </c>
      <c r="G226">
        <f>F226</f>
        <v>5.2110936470394202</v>
      </c>
      <c r="H226">
        <v>197.76599999999999</v>
      </c>
      <c r="I226" t="s">
        <v>8</v>
      </c>
      <c r="J226">
        <v>797</v>
      </c>
      <c r="K226">
        <v>0.81999999999999995</v>
      </c>
      <c r="L226" s="34">
        <v>0.8530080000000001</v>
      </c>
    </row>
    <row r="227">
      <c r="A227">
        <v>1201</v>
      </c>
      <c r="B227">
        <v>2207015.3319999999</v>
      </c>
      <c r="C227">
        <v>6750623.1679999996</v>
      </c>
      <c r="D227">
        <f t="shared" si="41"/>
        <v>-8.7979999999515712</v>
      </c>
      <c r="E227">
        <f t="shared" si="42"/>
        <v>-0.25</v>
      </c>
      <c r="F227">
        <f t="shared" si="43"/>
        <v>8.8015512268660832</v>
      </c>
      <c r="G227">
        <f>SUM($F$202:F251)</f>
        <v>437.89481959733905</v>
      </c>
      <c r="H227">
        <v>197.37</v>
      </c>
      <c r="I227" t="s">
        <v>8</v>
      </c>
      <c r="J227">
        <v>797</v>
      </c>
      <c r="K227">
        <v>1.76</v>
      </c>
      <c r="L227" s="34">
        <v>1.3999999999999999</v>
      </c>
    </row>
    <row r="228">
      <c r="A228">
        <v>1202</v>
      </c>
      <c r="B228">
        <v>2207006.9900000002</v>
      </c>
      <c r="C228">
        <v>6750623.4450000003</v>
      </c>
      <c r="D228">
        <f t="shared" si="41"/>
        <v>-8.3419999997131526</v>
      </c>
      <c r="E228">
        <f t="shared" si="42"/>
        <v>0.27700000070035458</v>
      </c>
      <c r="F228">
        <f t="shared" si="43"/>
        <v>8.3465976898136311</v>
      </c>
      <c r="G228">
        <f>SUM($F$203:F251)</f>
        <v>427.48770078400207</v>
      </c>
      <c r="H228">
        <v>197.21100000000001</v>
      </c>
      <c r="I228" t="s">
        <v>8</v>
      </c>
      <c r="J228">
        <v>797</v>
      </c>
      <c r="K228">
        <v>1.9399999999999999</v>
      </c>
      <c r="L228" s="34">
        <v>1.541976</v>
      </c>
    </row>
    <row r="229">
      <c r="A229">
        <v>1203</v>
      </c>
      <c r="B229">
        <v>2206996.7149999999</v>
      </c>
      <c r="C229">
        <v>6750623.2230000002</v>
      </c>
      <c r="D229">
        <f t="shared" si="41"/>
        <v>-10.275000000372529</v>
      </c>
      <c r="E229">
        <f t="shared" si="42"/>
        <v>-0.22200000006705523</v>
      </c>
      <c r="F229">
        <f t="shared" si="43"/>
        <v>10.277397968731446</v>
      </c>
      <c r="G229">
        <f>SUM($F$204:F251)</f>
        <v>413.80233918827162</v>
      </c>
      <c r="H229">
        <v>197.34200000000001</v>
      </c>
      <c r="I229" t="s">
        <v>8</v>
      </c>
      <c r="J229">
        <v>797</v>
      </c>
      <c r="K229">
        <v>2.0899999999999999</v>
      </c>
      <c r="L229" s="34">
        <v>1.8</v>
      </c>
    </row>
    <row r="230">
      <c r="A230">
        <v>1204</v>
      </c>
      <c r="B230">
        <v>2206987.4399999999</v>
      </c>
      <c r="C230">
        <v>6750623.3859999999</v>
      </c>
      <c r="D230">
        <f t="shared" si="41"/>
        <v>-9.2749999999068677</v>
      </c>
      <c r="E230">
        <f t="shared" si="42"/>
        <v>0.16299999970942736</v>
      </c>
      <c r="F230">
        <f t="shared" si="43"/>
        <v>9.2764321804332557</v>
      </c>
      <c r="G230">
        <f>SUM($F$205:F251)</f>
        <v>402.57033375750302</v>
      </c>
      <c r="H230">
        <v>197.04499999999999</v>
      </c>
      <c r="I230" t="s">
        <v>8</v>
      </c>
      <c r="J230">
        <v>797</v>
      </c>
      <c r="K230">
        <v>2.1699999999999999</v>
      </c>
      <c r="L230" s="34">
        <v>1.541976</v>
      </c>
    </row>
    <row r="231">
      <c r="A231">
        <v>1205</v>
      </c>
      <c r="B231">
        <v>2206976.432</v>
      </c>
      <c r="C231">
        <v>6750624.2939999998</v>
      </c>
      <c r="D231">
        <f t="shared" si="41"/>
        <v>-11.007999999914318</v>
      </c>
      <c r="E231">
        <f t="shared" si="42"/>
        <v>0.90799999982118607</v>
      </c>
      <c r="F231">
        <f t="shared" si="43"/>
        <v>11.045384918498264</v>
      </c>
      <c r="G231">
        <f>SUM($F$206:F251)</f>
        <v>391.01916130597374</v>
      </c>
      <c r="H231">
        <v>196.934</v>
      </c>
      <c r="I231" t="s">
        <v>8</v>
      </c>
      <c r="J231">
        <v>797</v>
      </c>
      <c r="K231">
        <v>2.4700000000000002</v>
      </c>
      <c r="L231" s="34">
        <v>2.1000000000000001</v>
      </c>
    </row>
    <row r="232">
      <c r="A232">
        <v>1206</v>
      </c>
      <c r="B232">
        <v>2206967.4350000001</v>
      </c>
      <c r="C232">
        <v>6750625.6830000002</v>
      </c>
      <c r="D232">
        <f t="shared" si="41"/>
        <v>-8.996999999973923</v>
      </c>
      <c r="E232">
        <f t="shared" si="42"/>
        <v>1.3890000004321337</v>
      </c>
      <c r="F232">
        <f t="shared" si="43"/>
        <v>9.1035888527948821</v>
      </c>
      <c r="G232">
        <f>SUM($F$207:F251)</f>
        <v>379.82472603665042</v>
      </c>
      <c r="H232">
        <v>196.75399999999999</v>
      </c>
      <c r="I232" t="s">
        <v>8</v>
      </c>
      <c r="J232">
        <v>797</v>
      </c>
      <c r="K232">
        <v>2.3300000000000001</v>
      </c>
      <c r="L232" s="34">
        <v>2.13252</v>
      </c>
    </row>
    <row r="233">
      <c r="A233">
        <v>1207</v>
      </c>
      <c r="B233">
        <v>2206957.4929999998</v>
      </c>
      <c r="C233">
        <v>6750625.2390000001</v>
      </c>
      <c r="D233">
        <f t="shared" si="41"/>
        <v>-9.9420000002719462</v>
      </c>
      <c r="E233">
        <f t="shared" si="42"/>
        <v>-0.44400000013411045</v>
      </c>
      <c r="F233">
        <f t="shared" si="43"/>
        <v>9.9519093648167072</v>
      </c>
      <c r="G233">
        <f>SUM($F$208:F251)</f>
        <v>370.73706011003765</v>
      </c>
      <c r="H233">
        <v>196.81899999999999</v>
      </c>
      <c r="I233" t="s">
        <v>8</v>
      </c>
      <c r="J233">
        <v>797</v>
      </c>
      <c r="K233">
        <v>2.6899999999999999</v>
      </c>
      <c r="L233" s="34">
        <v>2.1000000000000001</v>
      </c>
    </row>
    <row r="234">
      <c r="A234">
        <v>1208</v>
      </c>
      <c r="B234">
        <v>2206947.7760000001</v>
      </c>
      <c r="C234">
        <v>6750626.4539999999</v>
      </c>
      <c r="D234">
        <f t="shared" si="41"/>
        <v>-9.7169999997131526</v>
      </c>
      <c r="E234">
        <f t="shared" si="42"/>
        <v>1.2149999998509884</v>
      </c>
      <c r="F234">
        <f t="shared" si="43"/>
        <v>9.7926663373191332</v>
      </c>
      <c r="G234">
        <f>SUM($F$209:F251)</f>
        <v>357.48701901576226</v>
      </c>
      <c r="H234">
        <v>196.828</v>
      </c>
      <c r="I234" t="s">
        <v>8</v>
      </c>
      <c r="J234">
        <v>797</v>
      </c>
      <c r="K234">
        <v>2.0699999999999998</v>
      </c>
      <c r="L234" s="34">
        <v>2.0012880000000002</v>
      </c>
    </row>
    <row r="235">
      <c r="A235">
        <v>1209</v>
      </c>
      <c r="B235">
        <v>2206937.287</v>
      </c>
      <c r="C235">
        <v>6750627.2410000004</v>
      </c>
      <c r="D235">
        <f t="shared" si="41"/>
        <v>-10.489000000059605</v>
      </c>
      <c r="E235">
        <f t="shared" si="42"/>
        <v>0.78700000047683716</v>
      </c>
      <c r="F235">
        <f t="shared" si="43"/>
        <v>10.518483255774138</v>
      </c>
      <c r="G235">
        <f>SUM($F$210:F251)</f>
        <v>346.52358150712371</v>
      </c>
      <c r="H235">
        <v>197.40700000000001</v>
      </c>
      <c r="I235" t="s">
        <v>8</v>
      </c>
      <c r="J235">
        <v>797</v>
      </c>
      <c r="K235">
        <v>1.71</v>
      </c>
      <c r="L235" s="34">
        <v>1.1000000000000001</v>
      </c>
    </row>
    <row r="236">
      <c r="A236">
        <v>1210</v>
      </c>
      <c r="B236">
        <v>2206926.5460000001</v>
      </c>
      <c r="C236">
        <v>6750627.568</v>
      </c>
      <c r="D236">
        <f t="shared" si="41"/>
        <v>-10.740999999921769</v>
      </c>
      <c r="E236">
        <f t="shared" si="42"/>
        <v>0.32699999958276749</v>
      </c>
      <c r="F236">
        <f t="shared" si="43"/>
        <v>10.74597645623917</v>
      </c>
      <c r="G236">
        <f>SUM($F$211:F251)</f>
        <v>336.05426916121064</v>
      </c>
      <c r="H236">
        <v>197.75200000000001</v>
      </c>
      <c r="I236" t="s">
        <v>8</v>
      </c>
      <c r="J236">
        <v>797</v>
      </c>
      <c r="K236">
        <v>2.1499999999999999</v>
      </c>
      <c r="L236" s="34">
        <v>0.80000000000000004</v>
      </c>
    </row>
    <row r="237">
      <c r="A237">
        <v>1211</v>
      </c>
      <c r="B237">
        <v>2206913.1719999998</v>
      </c>
      <c r="C237">
        <v>6750628.4119999995</v>
      </c>
      <c r="D237">
        <f t="shared" si="41"/>
        <v>-13.374000000301749</v>
      </c>
      <c r="E237">
        <f t="shared" si="42"/>
        <v>0.84399999957531691</v>
      </c>
      <c r="F237">
        <f t="shared" si="43"/>
        <v>13.400604911993874</v>
      </c>
      <c r="G237">
        <f>SUM($F$212:F251)</f>
        <v>325.41934245698008</v>
      </c>
      <c r="H237">
        <v>198.42500000000001</v>
      </c>
      <c r="I237" t="s">
        <v>8</v>
      </c>
      <c r="J237">
        <v>797</v>
      </c>
      <c r="K237">
        <v>0.23000000000000001</v>
      </c>
      <c r="L237" s="34">
        <v>0.39369599999999999</v>
      </c>
    </row>
    <row r="238">
      <c r="A238" t="s">
        <v>34</v>
      </c>
      <c r="B238">
        <v>2207097.236</v>
      </c>
      <c r="C238">
        <v>6750001.6169999996</v>
      </c>
      <c r="H238">
        <v>195.989</v>
      </c>
      <c r="I238" t="s">
        <v>8</v>
      </c>
      <c r="J238">
        <v>797</v>
      </c>
      <c r="L238" s="34"/>
    </row>
    <row r="239">
      <c r="A239">
        <v>1212</v>
      </c>
      <c r="B239">
        <v>2207094.8539999998</v>
      </c>
      <c r="C239">
        <v>6749999.7369999997</v>
      </c>
      <c r="D239">
        <f t="shared" ref="D239:E245" si="44">B239-B238</f>
        <v>-2.3820000002160668</v>
      </c>
      <c r="E239">
        <f t="shared" si="44"/>
        <v>-1.8799999998882413</v>
      </c>
      <c r="F239">
        <f t="shared" ref="F239:F245" si="45">(D239^2+E239^2)^(0.5)</f>
        <v>3.0345220382473959</v>
      </c>
      <c r="G239">
        <f>F239</f>
        <v>3.0345220382473959</v>
      </c>
      <c r="H239">
        <v>195.15799999999999</v>
      </c>
      <c r="I239" t="s">
        <v>8</v>
      </c>
      <c r="J239">
        <v>797</v>
      </c>
      <c r="K239">
        <v>1.54</v>
      </c>
      <c r="L239" s="34">
        <v>0.49212</v>
      </c>
    </row>
    <row r="240">
      <c r="A240">
        <v>1213</v>
      </c>
      <c r="B240">
        <v>2207086.3500000001</v>
      </c>
      <c r="C240">
        <v>6749997.5259999996</v>
      </c>
      <c r="D240">
        <f t="shared" si="44"/>
        <v>-8.5039999997243285</v>
      </c>
      <c r="E240">
        <f t="shared" si="44"/>
        <v>-2.2110000001266599</v>
      </c>
      <c r="F240">
        <f t="shared" si="45"/>
        <v>8.7867250438301223</v>
      </c>
      <c r="G240">
        <f>SUM($F$214:F265)</f>
        <v>302.73425228200995</v>
      </c>
      <c r="H240">
        <v>194.613</v>
      </c>
      <c r="I240" t="s">
        <v>8</v>
      </c>
      <c r="J240">
        <v>797</v>
      </c>
      <c r="K240">
        <v>3.77</v>
      </c>
      <c r="L240" s="34">
        <v>1.3999999999999999</v>
      </c>
    </row>
    <row r="241">
      <c r="A241">
        <v>1214</v>
      </c>
      <c r="B241">
        <v>2207075.2140000002</v>
      </c>
      <c r="C241">
        <v>6749994.7549999999</v>
      </c>
      <c r="D241">
        <f t="shared" si="44"/>
        <v>-11.135999999940395</v>
      </c>
      <c r="E241">
        <f t="shared" si="44"/>
        <v>-2.7709999997168779</v>
      </c>
      <c r="F241">
        <f t="shared" si="45"/>
        <v>11.475580028787364</v>
      </c>
      <c r="G241">
        <f>SUM($F$215:F265)</f>
        <v>290.7576410331634</v>
      </c>
      <c r="H241">
        <v>193.708</v>
      </c>
      <c r="I241" t="s">
        <v>8</v>
      </c>
      <c r="J241">
        <v>797</v>
      </c>
      <c r="K241">
        <v>4.46</v>
      </c>
      <c r="L241" s="34">
        <v>2.3621759999999998</v>
      </c>
    </row>
    <row r="242">
      <c r="A242">
        <v>1215</v>
      </c>
      <c r="B242">
        <v>2207064.4029999999</v>
      </c>
      <c r="C242">
        <v>6749991.9060000004</v>
      </c>
      <c r="D242">
        <f t="shared" si="44"/>
        <v>-10.811000000219792</v>
      </c>
      <c r="E242">
        <f t="shared" si="44"/>
        <v>-2.8489999994635582</v>
      </c>
      <c r="F242">
        <f t="shared" si="45"/>
        <v>11.18009490128307</v>
      </c>
      <c r="G242">
        <f>SUM($F$216:F265)</f>
        <v>280.92584638541308</v>
      </c>
      <c r="H242">
        <v>194.339</v>
      </c>
      <c r="I242" t="s">
        <v>8</v>
      </c>
      <c r="J242">
        <v>797</v>
      </c>
      <c r="K242">
        <v>4.1500000000000004</v>
      </c>
      <c r="L242" s="34">
        <v>1.6000000000000001</v>
      </c>
    </row>
    <row r="243">
      <c r="A243">
        <v>1216</v>
      </c>
      <c r="B243">
        <v>2207054.2039999999</v>
      </c>
      <c r="C243">
        <v>6749989.5760000004</v>
      </c>
      <c r="D243">
        <f t="shared" si="44"/>
        <v>-10.199000000022352</v>
      </c>
      <c r="E243">
        <f t="shared" si="44"/>
        <v>-2.3300000000745058</v>
      </c>
      <c r="F243">
        <f t="shared" si="45"/>
        <v>10.461763761469818</v>
      </c>
      <c r="G243">
        <f>SUM($F$217:F265)</f>
        <v>268.29537996497118</v>
      </c>
      <c r="H243">
        <v>194.27199999999999</v>
      </c>
      <c r="I243" t="s">
        <v>8</v>
      </c>
      <c r="J243">
        <v>797</v>
      </c>
      <c r="K243">
        <v>3.2200000000000002</v>
      </c>
      <c r="L243" s="34">
        <v>1.8044400000000003</v>
      </c>
    </row>
    <row r="244">
      <c r="A244">
        <v>1217</v>
      </c>
      <c r="B244">
        <v>2207044.3900000001</v>
      </c>
      <c r="C244">
        <v>6749987.7740000002</v>
      </c>
      <c r="D244">
        <f t="shared" si="44"/>
        <v>-9.8139999997802079</v>
      </c>
      <c r="E244">
        <f t="shared" si="44"/>
        <v>-1.802000000141561</v>
      </c>
      <c r="F244">
        <f t="shared" si="45"/>
        <v>9.9780659446706448</v>
      </c>
      <c r="G244">
        <f>SUM($F$218:F265)</f>
        <v>255.59209369689736</v>
      </c>
      <c r="H244">
        <v>194.298</v>
      </c>
      <c r="I244" t="s">
        <v>8</v>
      </c>
      <c r="J244">
        <v>797</v>
      </c>
      <c r="K244">
        <v>3.4500000000000002</v>
      </c>
      <c r="L244" s="34">
        <v>1.5</v>
      </c>
    </row>
    <row r="245">
      <c r="A245">
        <v>1218</v>
      </c>
      <c r="B245">
        <v>2207035.4029999999</v>
      </c>
      <c r="C245">
        <v>6749986.3370000003</v>
      </c>
      <c r="D245">
        <f t="shared" si="44"/>
        <v>-8.9870000001974404</v>
      </c>
      <c r="E245">
        <f t="shared" si="44"/>
        <v>-1.4369999999180436</v>
      </c>
      <c r="F245">
        <f t="shared" si="45"/>
        <v>9.1011613546466279</v>
      </c>
      <c r="G245">
        <f>SUM($F$219:F265)</f>
        <v>244.68110217462242</v>
      </c>
      <c r="H245">
        <v>194.10599999999999</v>
      </c>
      <c r="I245" t="s">
        <v>8</v>
      </c>
      <c r="J245">
        <v>797</v>
      </c>
      <c r="K245">
        <v>4</v>
      </c>
      <c r="L245" s="34">
        <v>1.8044400000000003</v>
      </c>
    </row>
  </sheetData>
  <pageMargins left="0.69999999999999996" right="0.69999999999999996" top="0.75" bottom="0.75" header="0.29999999999999999" footer="0.2999999999999999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>
      <selection activeCell="B1" sqref="B1"/>
    </sheetView>
  </sheetViews>
  <sheetFormatPr defaultRowHeight="15"/>
  <sheetData>
    <row r="1">
      <c r="A1" t="s">
        <v>0</v>
      </c>
      <c r="B1" t="s">
        <v>101</v>
      </c>
      <c r="C1" t="s">
        <v>102</v>
      </c>
      <c r="D1" t="s">
        <v>104</v>
      </c>
    </row>
    <row r="2">
      <c r="A2">
        <v>1000</v>
      </c>
      <c r="B2">
        <v>6720658.3700000001</v>
      </c>
      <c r="C2">
        <v>2204126.0989999999</v>
      </c>
      <c r="D2">
        <v>0.46520499999999998</v>
      </c>
    </row>
    <row r="3">
      <c r="A3">
        <v>1001</v>
      </c>
      <c r="B3">
        <v>6720666.676</v>
      </c>
      <c r="C3">
        <v>2204119.3300000001</v>
      </c>
      <c r="D3">
        <v>0.89914099999999997</v>
      </c>
    </row>
    <row r="4">
      <c r="A4">
        <v>1002</v>
      </c>
      <c r="B4">
        <v>6720672.96</v>
      </c>
      <c r="C4">
        <v>2204112.7119999998</v>
      </c>
      <c r="D4">
        <v>1.0746340000000001</v>
      </c>
    </row>
    <row r="5">
      <c r="A5">
        <v>1003</v>
      </c>
      <c r="B5">
        <v>6720680.3119999999</v>
      </c>
      <c r="C5">
        <v>2204105.5589999999</v>
      </c>
      <c r="D5">
        <v>1.277992</v>
      </c>
    </row>
    <row r="6">
      <c r="A6">
        <v>1004</v>
      </c>
      <c r="B6">
        <v>6720687.574</v>
      </c>
      <c r="C6">
        <v>2204099.7820000001</v>
      </c>
      <c r="D6">
        <v>1.421683</v>
      </c>
    </row>
    <row r="7">
      <c r="A7">
        <v>1005</v>
      </c>
      <c r="B7">
        <v>6720695.3130000001</v>
      </c>
      <c r="C7">
        <v>2204093.5690000001</v>
      </c>
      <c r="D7">
        <v>1.6564319999999999</v>
      </c>
    </row>
    <row r="8">
      <c r="A8">
        <v>1006</v>
      </c>
      <c r="B8">
        <v>6720702.3420000002</v>
      </c>
      <c r="C8">
        <v>2204087.3429999999</v>
      </c>
      <c r="D8">
        <v>1.7277549999999999</v>
      </c>
    </row>
    <row r="9">
      <c r="A9">
        <v>1007</v>
      </c>
      <c r="B9">
        <v>6720708.8480000002</v>
      </c>
      <c r="C9">
        <v>2204081.27</v>
      </c>
      <c r="D9">
        <v>1.7921469999999999</v>
      </c>
    </row>
    <row r="10">
      <c r="A10">
        <v>1008</v>
      </c>
      <c r="B10">
        <v>6720715.6050000004</v>
      </c>
      <c r="C10">
        <v>2204075.449</v>
      </c>
      <c r="D10">
        <v>2.04949</v>
      </c>
    </row>
    <row r="11">
      <c r="A11">
        <v>1009</v>
      </c>
      <c r="B11">
        <v>6720722.2529999996</v>
      </c>
      <c r="C11">
        <v>2204068.9380000001</v>
      </c>
      <c r="D11">
        <v>2.4678499999999999</v>
      </c>
    </row>
    <row r="12">
      <c r="A12">
        <v>1010</v>
      </c>
      <c r="B12">
        <v>6720728.8449999997</v>
      </c>
      <c r="C12">
        <v>2204061.952</v>
      </c>
      <c r="D12">
        <v>2.3587020000000001</v>
      </c>
    </row>
    <row r="13">
      <c r="A13">
        <v>1011</v>
      </c>
      <c r="B13">
        <v>6720736.2829999998</v>
      </c>
      <c r="C13">
        <v>2204055.9339999999</v>
      </c>
      <c r="D13">
        <v>2.9182299999999999</v>
      </c>
    </row>
    <row r="14">
      <c r="A14">
        <v>1012</v>
      </c>
      <c r="B14">
        <v>6720742.79</v>
      </c>
      <c r="C14">
        <v>2204049.2259999998</v>
      </c>
      <c r="D14">
        <v>3.312017</v>
      </c>
    </row>
    <row r="15">
      <c r="A15">
        <v>1013</v>
      </c>
      <c r="B15">
        <v>6720750.2460000003</v>
      </c>
      <c r="C15">
        <v>2204041.8870000001</v>
      </c>
      <c r="D15">
        <v>2.9796200000000002</v>
      </c>
    </row>
    <row r="16">
      <c r="A16">
        <v>1014</v>
      </c>
      <c r="B16">
        <v>6720758.1550000003</v>
      </c>
      <c r="C16">
        <v>2204034.375</v>
      </c>
      <c r="D16">
        <v>2.9233039999999999</v>
      </c>
    </row>
    <row r="17">
      <c r="A17">
        <v>1015</v>
      </c>
      <c r="B17">
        <v>6720766.7659999998</v>
      </c>
      <c r="C17">
        <v>2204026.858</v>
      </c>
      <c r="D17">
        <v>2.2952569999999999</v>
      </c>
    </row>
    <row r="18">
      <c r="A18">
        <v>1016</v>
      </c>
      <c r="B18">
        <v>6720773.3260000004</v>
      </c>
      <c r="C18">
        <v>2204021.014</v>
      </c>
      <c r="D18">
        <v>1.8016840000000001</v>
      </c>
    </row>
    <row r="19">
      <c r="A19">
        <v>1017</v>
      </c>
      <c r="B19">
        <v>6720780.9560000002</v>
      </c>
      <c r="C19">
        <v>2204014.8640000001</v>
      </c>
      <c r="D19">
        <v>1.2494700000000001</v>
      </c>
    </row>
    <row r="20">
      <c r="A20">
        <v>1018</v>
      </c>
      <c r="B20">
        <v>6720788.2889999999</v>
      </c>
      <c r="C20">
        <v>2204008.6639999999</v>
      </c>
      <c r="D20">
        <v>0.70343599999999995</v>
      </c>
    </row>
    <row r="21">
      <c r="A21">
        <v>1019</v>
      </c>
      <c r="B21">
        <v>6722002.5580000002</v>
      </c>
      <c r="C21">
        <v>2204483.8590000002</v>
      </c>
      <c r="D21">
        <v>0.63334999999999997</v>
      </c>
    </row>
    <row r="22">
      <c r="A22">
        <v>1020</v>
      </c>
      <c r="B22">
        <v>6722001.3959999997</v>
      </c>
      <c r="C22">
        <v>2204488.6639999999</v>
      </c>
      <c r="D22">
        <v>0.87918600000000002</v>
      </c>
    </row>
    <row r="23">
      <c r="A23">
        <v>1021</v>
      </c>
      <c r="B23">
        <v>6722000.2489999998</v>
      </c>
      <c r="C23">
        <v>2204497.102</v>
      </c>
      <c r="D23">
        <v>1.2206399999999999</v>
      </c>
    </row>
    <row r="24">
      <c r="A24">
        <v>1022</v>
      </c>
      <c r="B24">
        <v>6721999.7609999999</v>
      </c>
      <c r="C24">
        <v>2204502.7689999999</v>
      </c>
      <c r="D24">
        <v>1.4497720000000001</v>
      </c>
    </row>
    <row r="25">
      <c r="A25">
        <v>1023</v>
      </c>
      <c r="B25">
        <v>6721998.6629999997</v>
      </c>
      <c r="C25">
        <v>2204509.5460000001</v>
      </c>
      <c r="D25">
        <v>1.6634910000000001</v>
      </c>
    </row>
    <row r="26">
      <c r="A26">
        <v>1024</v>
      </c>
      <c r="B26">
        <v>6721997.4380000001</v>
      </c>
      <c r="C26">
        <v>2204516.3020000001</v>
      </c>
      <c r="D26">
        <v>1.89131</v>
      </c>
    </row>
    <row r="27">
      <c r="A27">
        <v>1025</v>
      </c>
      <c r="B27">
        <v>6721997.6320000002</v>
      </c>
      <c r="C27">
        <v>2204523.3769999999</v>
      </c>
      <c r="D27">
        <v>1.8474790000000001</v>
      </c>
    </row>
    <row r="28">
      <c r="A28">
        <v>1026</v>
      </c>
      <c r="B28">
        <v>6721997.1730000004</v>
      </c>
      <c r="C28">
        <v>2204529.9199999999</v>
      </c>
      <c r="D28">
        <v>1.5861339999999999</v>
      </c>
    </row>
    <row r="29">
      <c r="A29">
        <v>1027</v>
      </c>
      <c r="B29">
        <v>6721996.8859999999</v>
      </c>
      <c r="C29">
        <v>2204536.5690000001</v>
      </c>
      <c r="D29">
        <v>1.2656879999999999</v>
      </c>
    </row>
    <row r="30">
      <c r="A30">
        <v>1028</v>
      </c>
      <c r="B30">
        <v>6722396.1169999996</v>
      </c>
      <c r="C30">
        <v>2204853.0520000001</v>
      </c>
      <c r="D30">
        <v>1.183292</v>
      </c>
    </row>
    <row r="31">
      <c r="A31">
        <v>1029</v>
      </c>
      <c r="B31">
        <v>6722397.4550000001</v>
      </c>
      <c r="C31">
        <v>2204858.0589999999</v>
      </c>
      <c r="D31">
        <v>1.3619049999999999</v>
      </c>
    </row>
    <row r="32">
      <c r="A32">
        <v>1030</v>
      </c>
      <c r="B32">
        <v>6722398.324</v>
      </c>
      <c r="C32">
        <v>2204864.6150000002</v>
      </c>
      <c r="D32">
        <v>1.5963400000000001</v>
      </c>
    </row>
    <row r="33">
      <c r="A33">
        <v>1032</v>
      </c>
      <c r="B33">
        <v>6722399.2680000002</v>
      </c>
      <c r="C33">
        <v>2204871.429</v>
      </c>
      <c r="D33">
        <v>1.87218</v>
      </c>
    </row>
    <row r="34">
      <c r="A34">
        <v>1033</v>
      </c>
      <c r="B34">
        <v>6722572.1160000004</v>
      </c>
      <c r="C34">
        <v>2204799.8760000002</v>
      </c>
      <c r="D34">
        <v>0.71050599999999997</v>
      </c>
    </row>
    <row r="35">
      <c r="A35">
        <v>1034</v>
      </c>
      <c r="B35">
        <v>6722573.102</v>
      </c>
      <c r="C35">
        <v>2204806.7790000001</v>
      </c>
      <c r="D35">
        <v>0.97683500000000001</v>
      </c>
    </row>
    <row r="36">
      <c r="A36">
        <v>1035</v>
      </c>
      <c r="B36">
        <v>6722574.4519999996</v>
      </c>
      <c r="C36">
        <v>2204813.4980000001</v>
      </c>
      <c r="D36">
        <v>1.2322040000000001</v>
      </c>
    </row>
    <row r="37">
      <c r="A37">
        <v>1036</v>
      </c>
      <c r="B37">
        <v>6722577.0559999999</v>
      </c>
      <c r="C37">
        <v>2204821.3679999998</v>
      </c>
      <c r="D37">
        <v>1.599804</v>
      </c>
    </row>
    <row r="38">
      <c r="A38">
        <v>1037</v>
      </c>
      <c r="B38">
        <v>6722579.3729999997</v>
      </c>
      <c r="C38">
        <v>2204830.4019999998</v>
      </c>
      <c r="D38">
        <v>1.940493</v>
      </c>
    </row>
    <row r="39">
      <c r="A39">
        <v>1038</v>
      </c>
      <c r="B39">
        <v>6722581.1660000002</v>
      </c>
      <c r="C39">
        <v>2204838.1899999999</v>
      </c>
      <c r="D39">
        <v>1.985028</v>
      </c>
    </row>
    <row r="40">
      <c r="A40">
        <v>1039</v>
      </c>
      <c r="B40">
        <v>6722582.8969999999</v>
      </c>
      <c r="C40">
        <v>2204845.2429999998</v>
      </c>
      <c r="D40">
        <v>1.9433659999999999</v>
      </c>
    </row>
    <row r="41">
      <c r="A41">
        <v>1040</v>
      </c>
      <c r="B41">
        <v>6722584.3300000001</v>
      </c>
      <c r="C41">
        <v>2204852.4840000002</v>
      </c>
      <c r="D41">
        <v>2.348519</v>
      </c>
    </row>
    <row r="42">
      <c r="A42">
        <v>1041</v>
      </c>
      <c r="B42">
        <v>6722586.0259999996</v>
      </c>
      <c r="C42">
        <v>2204861.602</v>
      </c>
      <c r="D42">
        <v>2.511981</v>
      </c>
    </row>
    <row r="43">
      <c r="A43">
        <v>1042</v>
      </c>
      <c r="B43">
        <v>6722587.6160000004</v>
      </c>
      <c r="C43">
        <v>2204867.73</v>
      </c>
      <c r="D43">
        <v>2.2966380000000002</v>
      </c>
    </row>
    <row r="44">
      <c r="A44">
        <v>1043</v>
      </c>
      <c r="B44">
        <v>6722588.4340000004</v>
      </c>
      <c r="C44">
        <v>2204876.0800000001</v>
      </c>
      <c r="D44">
        <v>2.003574</v>
      </c>
    </row>
    <row r="45">
      <c r="A45">
        <v>1044</v>
      </c>
      <c r="B45">
        <v>6722590.2419999996</v>
      </c>
      <c r="C45">
        <v>2204881.4640000002</v>
      </c>
      <c r="D45">
        <v>1.7972699999999999</v>
      </c>
    </row>
    <row r="46">
      <c r="A46">
        <v>1045</v>
      </c>
      <c r="B46">
        <v>6722591.7539999997</v>
      </c>
      <c r="C46">
        <v>2204889.1400000001</v>
      </c>
      <c r="D46">
        <v>1.5090680000000001</v>
      </c>
    </row>
    <row r="47">
      <c r="A47">
        <v>1046</v>
      </c>
      <c r="B47">
        <v>6722592.9199999999</v>
      </c>
      <c r="C47">
        <v>2204896.4879999999</v>
      </c>
      <c r="D47">
        <v>1.237862</v>
      </c>
    </row>
    <row r="48">
      <c r="A48">
        <v>1047</v>
      </c>
      <c r="B48">
        <v>6722594.2690000003</v>
      </c>
      <c r="C48">
        <v>2204903.3250000002</v>
      </c>
      <c r="D48">
        <v>0.98684499999999997</v>
      </c>
    </row>
    <row r="49">
      <c r="A49">
        <v>1048</v>
      </c>
      <c r="B49">
        <v>6731085.8789999997</v>
      </c>
      <c r="C49">
        <v>2208209.5819999999</v>
      </c>
      <c r="D49">
        <v>0.56207499999999999</v>
      </c>
    </row>
    <row r="50">
      <c r="A50">
        <v>1049</v>
      </c>
      <c r="B50">
        <v>6731089.5530000003</v>
      </c>
      <c r="C50">
        <v>2208197.8080000002</v>
      </c>
      <c r="D50">
        <v>1.071464</v>
      </c>
    </row>
    <row r="51">
      <c r="A51">
        <v>1050</v>
      </c>
      <c r="B51">
        <v>6731094.8030000003</v>
      </c>
      <c r="C51">
        <v>2208186.3930000002</v>
      </c>
      <c r="D51">
        <v>1.3565590000000001</v>
      </c>
    </row>
    <row r="52">
      <c r="A52">
        <v>1051</v>
      </c>
      <c r="B52">
        <v>6731097.7010000004</v>
      </c>
      <c r="C52">
        <v>2208176.2549999999</v>
      </c>
      <c r="D52">
        <v>1.3836520000000001</v>
      </c>
    </row>
    <row r="53">
      <c r="A53">
        <v>1052</v>
      </c>
      <c r="B53">
        <v>6731104.1430000002</v>
      </c>
      <c r="C53">
        <v>2208164.148</v>
      </c>
      <c r="D53">
        <v>1.2503340000000001</v>
      </c>
    </row>
    <row r="54">
      <c r="A54">
        <v>1053</v>
      </c>
      <c r="B54">
        <v>6731110.4019999998</v>
      </c>
      <c r="C54">
        <v>2208151.1719999998</v>
      </c>
      <c r="D54">
        <v>2.3936069999999998</v>
      </c>
    </row>
    <row r="55">
      <c r="A55">
        <v>1054</v>
      </c>
      <c r="B55">
        <v>6731114.5039999997</v>
      </c>
      <c r="C55">
        <v>2208140.6340000001</v>
      </c>
      <c r="D55">
        <v>2.1736260000000001</v>
      </c>
    </row>
    <row r="56">
      <c r="A56">
        <v>1055</v>
      </c>
      <c r="B56">
        <v>6731119.8370000003</v>
      </c>
      <c r="C56">
        <v>2208129.6349999998</v>
      </c>
      <c r="D56">
        <v>2.9959500000000001</v>
      </c>
    </row>
    <row r="57">
      <c r="A57">
        <v>1056</v>
      </c>
      <c r="B57">
        <v>6731125.0800000001</v>
      </c>
      <c r="C57">
        <v>2208118.7769999998</v>
      </c>
      <c r="D57">
        <v>2.3231039999999998</v>
      </c>
    </row>
    <row r="58">
      <c r="A58">
        <v>1057</v>
      </c>
      <c r="B58">
        <v>6731129.6119999997</v>
      </c>
      <c r="C58">
        <v>2208106.466</v>
      </c>
      <c r="D58">
        <v>2.1927910000000002</v>
      </c>
    </row>
    <row r="59">
      <c r="A59">
        <v>1058</v>
      </c>
      <c r="B59">
        <v>6731136.6799999997</v>
      </c>
      <c r="C59">
        <v>2208092.9419999998</v>
      </c>
      <c r="D59">
        <v>2.039644</v>
      </c>
    </row>
    <row r="60">
      <c r="A60">
        <v>1059</v>
      </c>
      <c r="B60">
        <v>6731138.9440000001</v>
      </c>
      <c r="C60">
        <v>2208081.4219999998</v>
      </c>
      <c r="D60">
        <v>1.8769119999999999</v>
      </c>
    </row>
    <row r="61">
      <c r="A61">
        <v>1060</v>
      </c>
      <c r="B61">
        <v>6731143.1449999996</v>
      </c>
      <c r="C61">
        <v>2208068.6519999998</v>
      </c>
      <c r="D61">
        <v>1.487843</v>
      </c>
    </row>
    <row r="62">
      <c r="A62">
        <v>1061</v>
      </c>
      <c r="B62">
        <v>6731145.9029999999</v>
      </c>
      <c r="C62">
        <v>2208057.4900000002</v>
      </c>
      <c r="D62">
        <v>0.32944800000000002</v>
      </c>
    </row>
    <row r="63">
      <c r="A63">
        <v>1062</v>
      </c>
      <c r="B63">
        <v>6732151.6979999999</v>
      </c>
      <c r="C63">
        <v>2208497.594</v>
      </c>
      <c r="D63">
        <v>0.079036999999999996</v>
      </c>
    </row>
    <row r="64">
      <c r="A64">
        <v>1063</v>
      </c>
      <c r="B64">
        <v>6732150.0889999997</v>
      </c>
      <c r="C64">
        <v>2208512.145</v>
      </c>
      <c r="D64">
        <v>0.82664499999999996</v>
      </c>
    </row>
    <row r="65">
      <c r="A65">
        <v>1064</v>
      </c>
      <c r="B65">
        <v>6732148.1529999999</v>
      </c>
      <c r="C65">
        <v>2208525.253</v>
      </c>
      <c r="D65">
        <v>1.516845</v>
      </c>
    </row>
    <row r="66">
      <c r="A66">
        <v>1065</v>
      </c>
      <c r="B66">
        <v>6732149.1179999998</v>
      </c>
      <c r="C66">
        <v>2208536.727</v>
      </c>
      <c r="D66">
        <v>2.2526190000000001</v>
      </c>
    </row>
    <row r="67">
      <c r="A67">
        <v>1066</v>
      </c>
      <c r="B67">
        <v>6732147.5640000002</v>
      </c>
      <c r="C67">
        <v>2208548.1880000001</v>
      </c>
      <c r="D67">
        <v>2.9496699999999998</v>
      </c>
    </row>
    <row r="68">
      <c r="A68">
        <v>1067</v>
      </c>
      <c r="B68">
        <v>6732145.2970000003</v>
      </c>
      <c r="C68">
        <v>2208560.963</v>
      </c>
      <c r="D68">
        <v>3.6267399999999999</v>
      </c>
    </row>
    <row r="69">
      <c r="A69">
        <v>1068</v>
      </c>
      <c r="B69">
        <v>6730533.284</v>
      </c>
      <c r="C69">
        <v>2207844.2220000001</v>
      </c>
      <c r="D69">
        <v>0</v>
      </c>
    </row>
    <row r="70">
      <c r="A70">
        <v>1069</v>
      </c>
      <c r="B70">
        <v>6730531.3329999996</v>
      </c>
      <c r="C70">
        <v>2207852.96</v>
      </c>
      <c r="D70">
        <v>0.43138300000000002</v>
      </c>
    </row>
    <row r="71">
      <c r="A71">
        <v>1070</v>
      </c>
      <c r="B71">
        <v>6730528.6310000001</v>
      </c>
      <c r="C71">
        <v>2207863.2349999999</v>
      </c>
      <c r="D71">
        <v>1.3138609999999999</v>
      </c>
    </row>
    <row r="72">
      <c r="A72">
        <v>1071</v>
      </c>
      <c r="B72">
        <v>6730526.1780000003</v>
      </c>
      <c r="C72">
        <v>2207873.2889999999</v>
      </c>
      <c r="D72">
        <v>1.639273</v>
      </c>
    </row>
    <row r="73">
      <c r="A73">
        <v>1072</v>
      </c>
      <c r="B73">
        <v>6730522.9539999999</v>
      </c>
      <c r="C73">
        <v>2207886.2969999998</v>
      </c>
      <c r="D73">
        <v>2.1816599999999999</v>
      </c>
    </row>
    <row r="74">
      <c r="A74">
        <v>1073</v>
      </c>
      <c r="B74">
        <v>6730519.8099999996</v>
      </c>
      <c r="C74">
        <v>2207898.1540000001</v>
      </c>
      <c r="D74">
        <v>1.9842489999999999</v>
      </c>
    </row>
    <row r="75">
      <c r="A75">
        <v>1074</v>
      </c>
      <c r="B75">
        <v>6730516.4900000002</v>
      </c>
      <c r="C75">
        <v>2207909.1499999999</v>
      </c>
      <c r="D75">
        <v>1.9768889999999999</v>
      </c>
    </row>
    <row r="76">
      <c r="A76">
        <v>1075</v>
      </c>
      <c r="B76">
        <v>6730514.227</v>
      </c>
      <c r="C76">
        <v>2207921.2620000001</v>
      </c>
      <c r="D76">
        <v>2.1198999999999999</v>
      </c>
    </row>
    <row r="77">
      <c r="A77">
        <v>1076</v>
      </c>
      <c r="B77">
        <v>6730511.4239999996</v>
      </c>
      <c r="C77">
        <v>2207935.8760000002</v>
      </c>
      <c r="D77">
        <v>2.3340800000000002</v>
      </c>
    </row>
    <row r="78">
      <c r="A78">
        <v>1077</v>
      </c>
      <c r="B78">
        <v>6730507.6440000003</v>
      </c>
      <c r="C78">
        <v>2207948.5690000001</v>
      </c>
      <c r="D78">
        <v>2.4917410000000002</v>
      </c>
    </row>
    <row r="79">
      <c r="A79">
        <v>1078</v>
      </c>
      <c r="B79">
        <v>6730504.5449999999</v>
      </c>
      <c r="C79">
        <v>2207959.0619999999</v>
      </c>
      <c r="D79">
        <v>2.0362800000000001</v>
      </c>
    </row>
    <row r="80">
      <c r="A80">
        <v>1079</v>
      </c>
      <c r="B80">
        <v>6730502.1270000003</v>
      </c>
      <c r="C80">
        <v>2207971.247</v>
      </c>
      <c r="D80">
        <v>1.9769950000000001</v>
      </c>
    </row>
    <row r="81">
      <c r="A81">
        <v>1080</v>
      </c>
      <c r="B81">
        <v>6730498.517</v>
      </c>
      <c r="C81">
        <v>2207986.4589999998</v>
      </c>
      <c r="D81">
        <v>1.7247429999999999</v>
      </c>
    </row>
    <row r="82">
      <c r="A82">
        <v>1081</v>
      </c>
      <c r="B82">
        <v>6730495.2079999996</v>
      </c>
      <c r="C82">
        <v>2207999.2749999999</v>
      </c>
      <c r="D82">
        <v>1.271498</v>
      </c>
    </row>
    <row r="83">
      <c r="A83">
        <v>1082</v>
      </c>
      <c r="B83">
        <v>6730491.3629999999</v>
      </c>
      <c r="C83">
        <v>2208011.3810000001</v>
      </c>
      <c r="D83">
        <v>0</v>
      </c>
    </row>
    <row r="84">
      <c r="A84">
        <v>1083</v>
      </c>
      <c r="B84">
        <v>6730488.7019999996</v>
      </c>
      <c r="C84">
        <v>2208022.0159999998</v>
      </c>
      <c r="D84">
        <v>0</v>
      </c>
    </row>
    <row r="85">
      <c r="A85">
        <v>1084</v>
      </c>
      <c r="B85">
        <v>6718948.432</v>
      </c>
      <c r="C85">
        <v>2202392.3769999999</v>
      </c>
      <c r="D85">
        <v>0.46264899999999998</v>
      </c>
    </row>
    <row r="86">
      <c r="A86">
        <v>1085</v>
      </c>
      <c r="B86">
        <v>6718955.3770000003</v>
      </c>
      <c r="C86">
        <v>2202386.7170000002</v>
      </c>
      <c r="D86">
        <v>1.542297</v>
      </c>
    </row>
    <row r="87">
      <c r="A87">
        <v>1086</v>
      </c>
      <c r="B87">
        <v>6718962.0089999996</v>
      </c>
      <c r="C87">
        <v>2202383.1579999998</v>
      </c>
      <c r="D87">
        <v>2.215732</v>
      </c>
    </row>
    <row r="88">
      <c r="A88">
        <v>1087</v>
      </c>
      <c r="B88">
        <v>6718969.1610000003</v>
      </c>
      <c r="C88">
        <v>2202378.5819999999</v>
      </c>
      <c r="D88">
        <v>2.431565</v>
      </c>
    </row>
    <row r="89">
      <c r="A89">
        <v>1088</v>
      </c>
      <c r="B89">
        <v>6718977.568</v>
      </c>
      <c r="C89">
        <v>2202373.1260000002</v>
      </c>
      <c r="D89">
        <v>1.8967069999999999</v>
      </c>
    </row>
    <row r="90">
      <c r="A90">
        <v>1089</v>
      </c>
      <c r="B90">
        <v>6718985.5410000002</v>
      </c>
      <c r="C90">
        <v>2202367.2239999999</v>
      </c>
      <c r="D90">
        <v>1.0168299999999999</v>
      </c>
    </row>
    <row r="91">
      <c r="A91">
        <v>1090</v>
      </c>
      <c r="B91">
        <v>6718992.6279999996</v>
      </c>
      <c r="C91">
        <v>2202360.861</v>
      </c>
      <c r="D91">
        <v>0.49118299999999998</v>
      </c>
    </row>
    <row r="92">
      <c r="A92">
        <v>1091</v>
      </c>
      <c r="B92">
        <v>6718999.5580000002</v>
      </c>
      <c r="C92">
        <v>2202353.551</v>
      </c>
      <c r="D92">
        <v>0.164743</v>
      </c>
    </row>
    <row r="93">
      <c r="A93">
        <v>1092</v>
      </c>
      <c r="B93">
        <v>6719005.0820000004</v>
      </c>
      <c r="C93">
        <v>2202346.8130000001</v>
      </c>
      <c r="D93">
        <v>0.125498</v>
      </c>
    </row>
    <row r="94">
      <c r="A94">
        <v>1093</v>
      </c>
      <c r="B94">
        <v>6719010.9800000004</v>
      </c>
      <c r="C94">
        <v>2202339.4559999998</v>
      </c>
      <c r="D94">
        <v>0.11953999999999999</v>
      </c>
    </row>
    <row r="95">
      <c r="A95">
        <v>1094</v>
      </c>
      <c r="B95">
        <v>6719018.3679999998</v>
      </c>
      <c r="C95">
        <v>2202331.2009999999</v>
      </c>
      <c r="D95">
        <v>0.164882</v>
      </c>
    </row>
    <row r="96">
      <c r="A96">
        <v>1095</v>
      </c>
      <c r="B96">
        <v>6719026.1859999998</v>
      </c>
      <c r="C96">
        <v>2202319.3999999999</v>
      </c>
      <c r="D96">
        <v>0.26227499999999998</v>
      </c>
    </row>
    <row r="97">
      <c r="A97">
        <v>1096</v>
      </c>
      <c r="B97">
        <v>6719029.2539999997</v>
      </c>
      <c r="C97">
        <v>2202314.426</v>
      </c>
      <c r="D97">
        <v>0.282831</v>
      </c>
    </row>
    <row r="98">
      <c r="A98">
        <v>1097</v>
      </c>
      <c r="B98">
        <v>6718418.6390000004</v>
      </c>
      <c r="C98">
        <v>2201807.8119999999</v>
      </c>
      <c r="D98">
        <v>0.30237599999999998</v>
      </c>
    </row>
    <row r="99">
      <c r="A99">
        <v>1098</v>
      </c>
      <c r="B99">
        <v>6718411.0839999998</v>
      </c>
      <c r="C99">
        <v>2201817.0260000001</v>
      </c>
      <c r="D99">
        <v>0.98167199999999999</v>
      </c>
    </row>
    <row r="100">
      <c r="A100">
        <v>1099</v>
      </c>
      <c r="B100">
        <v>6718405.7819999997</v>
      </c>
      <c r="C100">
        <v>2201825.301</v>
      </c>
      <c r="D100">
        <v>1.5163009999999999</v>
      </c>
    </row>
    <row r="101">
      <c r="A101">
        <v>1100</v>
      </c>
      <c r="B101">
        <v>6718400.7070000004</v>
      </c>
      <c r="C101">
        <v>2201833.8909999998</v>
      </c>
      <c r="D101">
        <v>2.0043280000000001</v>
      </c>
    </row>
    <row r="102">
      <c r="A102">
        <v>1101</v>
      </c>
      <c r="B102">
        <v>6718393.6169999996</v>
      </c>
      <c r="C102">
        <v>2201843.426</v>
      </c>
      <c r="D102">
        <v>2.1759810000000002</v>
      </c>
    </row>
    <row r="103">
      <c r="A103">
        <v>1102</v>
      </c>
      <c r="B103">
        <v>6718386.7220000001</v>
      </c>
      <c r="C103">
        <v>2201851.5839999998</v>
      </c>
      <c r="D103">
        <v>2.317329</v>
      </c>
    </row>
    <row r="104">
      <c r="A104">
        <v>1103</v>
      </c>
      <c r="B104">
        <v>6718379.7520000003</v>
      </c>
      <c r="C104">
        <v>2201860.8939999999</v>
      </c>
      <c r="D104">
        <v>2.4741569999999999</v>
      </c>
    </row>
    <row r="105">
      <c r="A105">
        <v>1104</v>
      </c>
      <c r="B105">
        <v>6718371.7819999997</v>
      </c>
      <c r="C105">
        <v>2201869.145</v>
      </c>
      <c r="D105">
        <v>2.6118769999999998</v>
      </c>
    </row>
    <row r="106">
      <c r="A106">
        <v>1105</v>
      </c>
      <c r="B106">
        <v>6718364.1529999999</v>
      </c>
      <c r="C106">
        <v>2201878.9810000001</v>
      </c>
      <c r="D106">
        <v>2.6917490000000002</v>
      </c>
    </row>
    <row r="107">
      <c r="A107">
        <v>1106</v>
      </c>
      <c r="B107">
        <v>6718355.8030000003</v>
      </c>
      <c r="C107">
        <v>2201888.0780000002</v>
      </c>
      <c r="D107">
        <v>3.137464</v>
      </c>
    </row>
    <row r="108">
      <c r="A108">
        <v>1107</v>
      </c>
      <c r="B108">
        <v>6718345.7309999997</v>
      </c>
      <c r="C108">
        <v>2201899.557</v>
      </c>
      <c r="D108">
        <v>2.8307340000000001</v>
      </c>
    </row>
    <row r="109">
      <c r="A109">
        <v>1108</v>
      </c>
      <c r="B109">
        <v>6718338.7209999999</v>
      </c>
      <c r="C109">
        <v>2201908.702</v>
      </c>
      <c r="D109">
        <v>2.9435389999999999</v>
      </c>
    </row>
    <row r="110">
      <c r="A110">
        <v>1109</v>
      </c>
      <c r="B110">
        <v>6718330.7240000004</v>
      </c>
      <c r="C110">
        <v>2201918.173</v>
      </c>
      <c r="D110">
        <v>3.1915429999999998</v>
      </c>
    </row>
    <row r="111">
      <c r="A111">
        <v>1110</v>
      </c>
      <c r="B111">
        <v>6718323.324</v>
      </c>
      <c r="C111">
        <v>2201928.0129999998</v>
      </c>
      <c r="D111">
        <v>3.3493889999999999</v>
      </c>
    </row>
    <row r="112">
      <c r="A112">
        <v>1111</v>
      </c>
      <c r="B112">
        <v>6718315.9170000004</v>
      </c>
      <c r="C112">
        <v>2201937.1209999998</v>
      </c>
      <c r="D112">
        <v>2.8793739999999999</v>
      </c>
    </row>
    <row r="113">
      <c r="A113">
        <v>1112</v>
      </c>
      <c r="B113">
        <v>6718307.5319999997</v>
      </c>
      <c r="C113">
        <v>2201947.9249999998</v>
      </c>
      <c r="D113">
        <v>1.073207</v>
      </c>
    </row>
    <row r="114">
      <c r="A114">
        <v>1113</v>
      </c>
      <c r="B114">
        <v>6717971.4479999999</v>
      </c>
      <c r="C114">
        <v>2201620.6140000001</v>
      </c>
      <c r="D114">
        <v>0.80178400000000005</v>
      </c>
    </row>
    <row r="115">
      <c r="A115">
        <v>1114</v>
      </c>
      <c r="B115">
        <v>6717980.2240000004</v>
      </c>
      <c r="C115">
        <v>2201614.2919999999</v>
      </c>
      <c r="D115">
        <v>0.79257699999999998</v>
      </c>
    </row>
    <row r="116">
      <c r="A116">
        <v>1115</v>
      </c>
      <c r="B116">
        <v>6717990.0070000002</v>
      </c>
      <c r="C116">
        <v>2201608.0589999999</v>
      </c>
      <c r="D116">
        <v>0.96338800000000002</v>
      </c>
    </row>
    <row r="117">
      <c r="A117">
        <v>1116</v>
      </c>
      <c r="B117">
        <v>6717998.182</v>
      </c>
      <c r="C117">
        <v>2201599.9589999998</v>
      </c>
      <c r="D117">
        <v>1.832973</v>
      </c>
    </row>
    <row r="118">
      <c r="A118">
        <v>1117</v>
      </c>
      <c r="B118">
        <v>6718004.6979999999</v>
      </c>
      <c r="C118">
        <v>2201594.3769999999</v>
      </c>
      <c r="D118">
        <v>1.848535</v>
      </c>
    </row>
    <row r="119">
      <c r="A119">
        <v>1118</v>
      </c>
      <c r="B119">
        <v>6718011.3789999997</v>
      </c>
      <c r="C119">
        <v>2201587.2710000002</v>
      </c>
      <c r="D119">
        <v>1.8893120000000001</v>
      </c>
    </row>
    <row r="120">
      <c r="A120">
        <v>1119</v>
      </c>
      <c r="B120">
        <v>6718018.7149999999</v>
      </c>
      <c r="C120">
        <v>2201581.3429999999</v>
      </c>
      <c r="D120">
        <v>2.0228890000000002</v>
      </c>
    </row>
    <row r="121">
      <c r="A121">
        <v>1120</v>
      </c>
      <c r="B121">
        <v>6718026.2350000003</v>
      </c>
      <c r="C121">
        <v>2201571.9399999999</v>
      </c>
      <c r="D121">
        <v>2.0750259999999998</v>
      </c>
    </row>
    <row r="122">
      <c r="A122">
        <v>1121</v>
      </c>
      <c r="B122">
        <v>6718033.9900000002</v>
      </c>
      <c r="C122">
        <v>2201563.9989999998</v>
      </c>
      <c r="D122">
        <v>1.5947450000000001</v>
      </c>
    </row>
    <row r="123">
      <c r="A123">
        <v>1122</v>
      </c>
      <c r="B123">
        <v>6718041.7079999996</v>
      </c>
      <c r="C123">
        <v>2201556.1099999999</v>
      </c>
      <c r="D123">
        <v>0.74947200000000003</v>
      </c>
    </row>
    <row r="124">
      <c r="A124">
        <v>1123</v>
      </c>
      <c r="B124">
        <v>6718049.7130000005</v>
      </c>
      <c r="C124">
        <v>2201548.4980000001</v>
      </c>
      <c r="D124">
        <v>0.063294000000000003</v>
      </c>
    </row>
    <row r="125">
      <c r="A125">
        <v>1124</v>
      </c>
      <c r="B125">
        <v>6717837.3380000005</v>
      </c>
      <c r="C125">
        <v>2201326.3119999999</v>
      </c>
      <c r="D125">
        <v>0</v>
      </c>
    </row>
    <row r="126">
      <c r="A126">
        <v>1125</v>
      </c>
      <c r="B126">
        <v>6717828.5439999998</v>
      </c>
      <c r="C126">
        <v>2201332.057</v>
      </c>
      <c r="D126">
        <v>0.208486</v>
      </c>
    </row>
    <row r="127">
      <c r="A127">
        <v>1126</v>
      </c>
      <c r="B127">
        <v>6717821.8810000001</v>
      </c>
      <c r="C127">
        <v>2201340.196</v>
      </c>
      <c r="D127">
        <v>1.8079639999999999</v>
      </c>
    </row>
    <row r="128">
      <c r="A128">
        <v>1127</v>
      </c>
      <c r="B128">
        <v>6717814.3380000005</v>
      </c>
      <c r="C128">
        <v>2201347.2749999999</v>
      </c>
      <c r="D128">
        <v>2.586856</v>
      </c>
    </row>
    <row r="129">
      <c r="A129">
        <v>1128</v>
      </c>
      <c r="B129">
        <v>6717807.2249999996</v>
      </c>
      <c r="C129">
        <v>2201353.6699999999</v>
      </c>
      <c r="D129">
        <v>2.9070849999999999</v>
      </c>
    </row>
    <row r="130">
      <c r="A130">
        <v>1129</v>
      </c>
      <c r="B130">
        <v>6717799.4210000001</v>
      </c>
      <c r="C130">
        <v>2201359.696</v>
      </c>
      <c r="D130">
        <v>2.647421</v>
      </c>
    </row>
    <row r="131">
      <c r="A131">
        <v>1130</v>
      </c>
      <c r="B131">
        <v>6717792.9220000003</v>
      </c>
      <c r="C131">
        <v>2201367.5639999998</v>
      </c>
      <c r="D131">
        <v>2.6383320000000001</v>
      </c>
    </row>
    <row r="132">
      <c r="A132">
        <v>1131</v>
      </c>
      <c r="B132">
        <v>6717785.5049999999</v>
      </c>
      <c r="C132">
        <v>2201374.6830000002</v>
      </c>
      <c r="D132">
        <v>2.2115300000000002</v>
      </c>
    </row>
    <row r="133">
      <c r="A133">
        <v>1132</v>
      </c>
      <c r="B133">
        <v>6717777.1509999996</v>
      </c>
      <c r="C133">
        <v>2201382.5240000002</v>
      </c>
      <c r="D133">
        <v>1.7211019999999999</v>
      </c>
    </row>
    <row r="134">
      <c r="A134">
        <v>1133</v>
      </c>
      <c r="B134">
        <v>6717769.1500000004</v>
      </c>
      <c r="C134">
        <v>2201391.5950000002</v>
      </c>
      <c r="D134">
        <v>0.59325099999999997</v>
      </c>
    </row>
    <row r="135">
      <c r="A135">
        <v>1134</v>
      </c>
      <c r="B135">
        <v>6717761.1909999996</v>
      </c>
      <c r="C135">
        <v>2201401.0780000002</v>
      </c>
      <c r="D135">
        <v>0</v>
      </c>
    </row>
    <row r="136">
      <c r="A136">
        <v>1135</v>
      </c>
      <c r="B136">
        <v>6702066.0159999998</v>
      </c>
      <c r="C136">
        <v>2193402.2349999999</v>
      </c>
      <c r="D136">
        <v>0.53338099999999999</v>
      </c>
    </row>
    <row r="137">
      <c r="A137">
        <v>1136</v>
      </c>
      <c r="B137">
        <v>6702059.0990000004</v>
      </c>
      <c r="C137">
        <v>2193406.861</v>
      </c>
      <c r="D137">
        <v>0.91638399999999998</v>
      </c>
    </row>
    <row r="138">
      <c r="A138">
        <v>1137</v>
      </c>
      <c r="B138">
        <v>6702049.5219999999</v>
      </c>
      <c r="C138">
        <v>2193416.0490000001</v>
      </c>
      <c r="D138">
        <v>1.128028</v>
      </c>
    </row>
    <row r="139">
      <c r="A139">
        <v>1138</v>
      </c>
      <c r="B139">
        <v>6702043.773</v>
      </c>
      <c r="C139">
        <v>2193422.2519999999</v>
      </c>
      <c r="D139">
        <v>1.3040039999999999</v>
      </c>
    </row>
    <row r="140">
      <c r="A140">
        <v>1139</v>
      </c>
      <c r="B140">
        <v>6702036.9680000003</v>
      </c>
      <c r="C140">
        <v>2193429.5189999999</v>
      </c>
      <c r="D140">
        <v>1.509776</v>
      </c>
    </row>
    <row r="141">
      <c r="A141">
        <v>1140</v>
      </c>
      <c r="B141">
        <v>6702029.1579999998</v>
      </c>
      <c r="C141">
        <v>2193436.7540000002</v>
      </c>
      <c r="D141">
        <v>1.7285360000000001</v>
      </c>
    </row>
    <row r="142">
      <c r="A142">
        <v>1141</v>
      </c>
      <c r="B142">
        <v>6702022.6849999996</v>
      </c>
      <c r="C142">
        <v>2193444.0329999998</v>
      </c>
      <c r="D142">
        <v>1.930836</v>
      </c>
    </row>
    <row r="143">
      <c r="A143">
        <v>1142</v>
      </c>
      <c r="B143">
        <v>6702014.9720000001</v>
      </c>
      <c r="C143">
        <v>2193451.105</v>
      </c>
      <c r="D143">
        <v>2.184402</v>
      </c>
    </row>
    <row r="144">
      <c r="A144">
        <v>1143</v>
      </c>
      <c r="B144">
        <v>6702007.8389999997</v>
      </c>
      <c r="C144">
        <v>2193458.5699999998</v>
      </c>
      <c r="D144">
        <v>2.0547430000000002</v>
      </c>
    </row>
    <row r="145">
      <c r="A145">
        <v>1144</v>
      </c>
      <c r="B145">
        <v>6702002.3669999996</v>
      </c>
      <c r="C145">
        <v>2193465.699</v>
      </c>
      <c r="D145">
        <v>1.720305</v>
      </c>
    </row>
    <row r="146">
      <c r="A146">
        <v>1145</v>
      </c>
      <c r="B146">
        <v>6701994.9749999996</v>
      </c>
      <c r="C146">
        <v>2193474.1919999998</v>
      </c>
      <c r="D146">
        <v>1.8256600000000001</v>
      </c>
    </row>
    <row r="147">
      <c r="A147">
        <v>1146</v>
      </c>
      <c r="B147">
        <v>6701989.1830000002</v>
      </c>
      <c r="C147">
        <v>2193480.8730000001</v>
      </c>
      <c r="D147">
        <v>1.6722760000000001</v>
      </c>
    </row>
    <row r="148">
      <c r="A148">
        <v>1147</v>
      </c>
      <c r="B148">
        <v>6701982.5109999999</v>
      </c>
      <c r="C148">
        <v>2193489.2289999998</v>
      </c>
      <c r="D148">
        <v>1.6462319999999999</v>
      </c>
    </row>
    <row r="149">
      <c r="A149">
        <v>1148</v>
      </c>
      <c r="B149">
        <v>6701976.9189999998</v>
      </c>
      <c r="C149">
        <v>2193495.8459999999</v>
      </c>
      <c r="D149">
        <v>1.9555199999999999</v>
      </c>
    </row>
    <row r="150">
      <c r="A150">
        <v>1149</v>
      </c>
      <c r="B150">
        <v>6701969.7810000004</v>
      </c>
      <c r="C150">
        <v>2193503.031</v>
      </c>
      <c r="D150">
        <v>1.7723580000000001</v>
      </c>
    </row>
    <row r="151">
      <c r="A151">
        <v>1150</v>
      </c>
      <c r="B151">
        <v>6701963.7180000003</v>
      </c>
      <c r="C151">
        <v>2193510.1510000001</v>
      </c>
      <c r="D151">
        <v>1.923908</v>
      </c>
    </row>
    <row r="152">
      <c r="A152">
        <v>1151</v>
      </c>
      <c r="B152">
        <v>6701955.4639999997</v>
      </c>
      <c r="C152">
        <v>2193516.4389999998</v>
      </c>
      <c r="D152">
        <v>1.5918049999999999</v>
      </c>
    </row>
    <row r="153">
      <c r="A153">
        <v>1152</v>
      </c>
      <c r="B153">
        <v>6701949.3310000002</v>
      </c>
      <c r="C153">
        <v>2193522.736</v>
      </c>
      <c r="D153">
        <v>1.3912629999999999</v>
      </c>
    </row>
    <row r="154">
      <c r="A154">
        <v>1153</v>
      </c>
      <c r="B154">
        <v>6701941.6169999996</v>
      </c>
      <c r="C154">
        <v>2193529.2930000001</v>
      </c>
      <c r="D154">
        <v>1.902938</v>
      </c>
    </row>
    <row r="155">
      <c r="A155">
        <v>1154</v>
      </c>
      <c r="B155">
        <v>6701935.3650000002</v>
      </c>
      <c r="C155">
        <v>2193536.8960000002</v>
      </c>
      <c r="D155">
        <v>1.6155949999999999</v>
      </c>
    </row>
    <row r="156">
      <c r="A156">
        <v>1156</v>
      </c>
      <c r="B156">
        <v>6702387.4199999999</v>
      </c>
      <c r="C156">
        <v>2193895.3050000002</v>
      </c>
      <c r="D156">
        <v>0.192158</v>
      </c>
    </row>
    <row r="157">
      <c r="A157">
        <v>1157</v>
      </c>
      <c r="B157">
        <v>6702392.1710000001</v>
      </c>
      <c r="C157">
        <v>2193889.5109999999</v>
      </c>
      <c r="D157">
        <v>0.88623700000000005</v>
      </c>
    </row>
    <row r="158">
      <c r="A158">
        <v>1158</v>
      </c>
      <c r="B158">
        <v>6702397.4819999998</v>
      </c>
      <c r="C158">
        <v>2193882.4559999998</v>
      </c>
      <c r="D158">
        <v>1.2297480000000001</v>
      </c>
    </row>
    <row r="159">
      <c r="A159">
        <v>1159</v>
      </c>
      <c r="B159">
        <v>6702403.2850000001</v>
      </c>
      <c r="C159">
        <v>2193875.298</v>
      </c>
      <c r="D159">
        <v>1.700299</v>
      </c>
    </row>
    <row r="160">
      <c r="A160">
        <v>1160</v>
      </c>
      <c r="B160">
        <v>6702410.1299999999</v>
      </c>
      <c r="C160">
        <v>2193867.051</v>
      </c>
      <c r="D160">
        <v>2.4356010000000001</v>
      </c>
    </row>
    <row r="161">
      <c r="A161">
        <v>1161</v>
      </c>
      <c r="B161">
        <v>6702417.3229999999</v>
      </c>
      <c r="C161">
        <v>2193857.6209999998</v>
      </c>
      <c r="D161">
        <v>3.2233559999999999</v>
      </c>
    </row>
    <row r="162">
      <c r="A162">
        <v>1162</v>
      </c>
      <c r="B162">
        <v>6702420.7699999996</v>
      </c>
      <c r="C162">
        <v>2193851.1669999999</v>
      </c>
      <c r="D162">
        <v>3.5960179999999999</v>
      </c>
    </row>
    <row r="163">
      <c r="A163">
        <v>1163</v>
      </c>
      <c r="B163">
        <v>6702425.2230000002</v>
      </c>
      <c r="C163">
        <v>2193846.0099999998</v>
      </c>
      <c r="D163">
        <v>3.8253900000000001</v>
      </c>
    </row>
    <row r="164">
      <c r="A164">
        <v>1164</v>
      </c>
      <c r="B164">
        <v>6702429.9340000004</v>
      </c>
      <c r="C164">
        <v>2193839.7969999998</v>
      </c>
      <c r="D164">
        <v>3.9117440000000001</v>
      </c>
    </row>
    <row r="165">
      <c r="A165">
        <v>1165</v>
      </c>
      <c r="B165">
        <v>6703230.4740000004</v>
      </c>
      <c r="C165">
        <v>2194301.5550000002</v>
      </c>
      <c r="D165">
        <v>0.46903400000000001</v>
      </c>
    </row>
    <row r="166">
      <c r="A166">
        <v>1166</v>
      </c>
      <c r="B166">
        <v>6703229.3399999999</v>
      </c>
      <c r="C166">
        <v>2194310.1430000002</v>
      </c>
      <c r="D166">
        <v>1.2110209999999999</v>
      </c>
    </row>
    <row r="167">
      <c r="A167">
        <v>1167</v>
      </c>
      <c r="B167">
        <v>6703229.3320000004</v>
      </c>
      <c r="C167">
        <v>2194318.8939999999</v>
      </c>
      <c r="D167">
        <v>1.395008</v>
      </c>
    </row>
    <row r="168">
      <c r="A168">
        <v>1168</v>
      </c>
      <c r="B168">
        <v>6703229.1710000001</v>
      </c>
      <c r="C168">
        <v>2194328.1719999998</v>
      </c>
      <c r="D168">
        <v>1.734407</v>
      </c>
    </row>
    <row r="169">
      <c r="A169">
        <v>1169</v>
      </c>
      <c r="B169">
        <v>6703229.051</v>
      </c>
      <c r="C169">
        <v>2194334.449</v>
      </c>
      <c r="D169">
        <v>2.0400010000000002</v>
      </c>
    </row>
    <row r="170">
      <c r="A170">
        <v>1170</v>
      </c>
      <c r="B170">
        <v>6703228.7249999996</v>
      </c>
      <c r="C170">
        <v>2194343.8480000002</v>
      </c>
      <c r="D170">
        <v>2.462288</v>
      </c>
    </row>
    <row r="171">
      <c r="A171">
        <v>1171</v>
      </c>
      <c r="B171">
        <v>6703228.4009999996</v>
      </c>
      <c r="C171">
        <v>2194352.1919999998</v>
      </c>
      <c r="D171">
        <v>2.1033279999999999</v>
      </c>
    </row>
    <row r="172">
      <c r="A172">
        <v>1172</v>
      </c>
      <c r="B172">
        <v>6703227.0930000003</v>
      </c>
      <c r="C172">
        <v>2194361.6740000001</v>
      </c>
      <c r="D172">
        <v>1.5676399999999999</v>
      </c>
    </row>
    <row r="173">
      <c r="A173">
        <v>1173</v>
      </c>
      <c r="B173">
        <v>6703227.2769999998</v>
      </c>
      <c r="C173">
        <v>2194369.2560000001</v>
      </c>
      <c r="D173">
        <v>1.1332800000000001</v>
      </c>
    </row>
    <row r="174">
      <c r="A174">
        <v>1174</v>
      </c>
      <c r="B174">
        <v>6703225.4189999998</v>
      </c>
      <c r="C174">
        <v>2194381.3599999999</v>
      </c>
      <c r="D174">
        <v>0.64272300000000004</v>
      </c>
    </row>
    <row r="175">
      <c r="A175">
        <v>1176</v>
      </c>
      <c r="B175">
        <v>6750293.3509999998</v>
      </c>
      <c r="C175">
        <v>2206859.4300000002</v>
      </c>
      <c r="D175">
        <v>0</v>
      </c>
    </row>
    <row r="176">
      <c r="A176">
        <v>1177</v>
      </c>
      <c r="B176">
        <v>6750293.7620000001</v>
      </c>
      <c r="C176">
        <v>2206869.8289999999</v>
      </c>
      <c r="D176">
        <v>0.58553999999999995</v>
      </c>
    </row>
    <row r="177">
      <c r="A177">
        <v>1178</v>
      </c>
      <c r="B177">
        <v>6750294.4309999999</v>
      </c>
      <c r="C177">
        <v>2206883.4980000001</v>
      </c>
      <c r="D177">
        <v>1.508745</v>
      </c>
    </row>
    <row r="178">
      <c r="A178">
        <v>1179</v>
      </c>
      <c r="B178">
        <v>6750293.5199999996</v>
      </c>
      <c r="C178">
        <v>2206894.693</v>
      </c>
      <c r="D178">
        <v>1.7325459999999999</v>
      </c>
    </row>
    <row r="179">
      <c r="A179">
        <v>1180</v>
      </c>
      <c r="B179">
        <v>6750293.1129999999</v>
      </c>
      <c r="C179">
        <v>2206906.2370000002</v>
      </c>
      <c r="D179">
        <v>2.3815360000000001</v>
      </c>
    </row>
    <row r="180">
      <c r="A180">
        <v>1181</v>
      </c>
      <c r="B180">
        <v>6750292.2230000002</v>
      </c>
      <c r="C180">
        <v>2206917.3960000002</v>
      </c>
      <c r="D180">
        <v>2.3868969999999998</v>
      </c>
    </row>
    <row r="181">
      <c r="A181">
        <v>1182</v>
      </c>
      <c r="B181">
        <v>6750292.3969999999</v>
      </c>
      <c r="C181">
        <v>2206926.4819999998</v>
      </c>
      <c r="D181">
        <v>2.404217</v>
      </c>
    </row>
    <row r="182">
      <c r="A182">
        <v>1183</v>
      </c>
      <c r="B182">
        <v>6750292.4299999997</v>
      </c>
      <c r="C182">
        <v>2206939.7319999998</v>
      </c>
      <c r="D182">
        <v>2.4022199999999998</v>
      </c>
    </row>
    <row r="183">
      <c r="A183">
        <v>1184</v>
      </c>
      <c r="B183">
        <v>6750291.3590000002</v>
      </c>
      <c r="C183">
        <v>2206950.6430000002</v>
      </c>
      <c r="D183">
        <v>2.4530729999999998</v>
      </c>
    </row>
    <row r="184">
      <c r="A184">
        <v>1185</v>
      </c>
      <c r="B184">
        <v>6750290.0329999998</v>
      </c>
      <c r="C184">
        <v>2206961.0279999999</v>
      </c>
      <c r="D184">
        <v>2.4219759999999999</v>
      </c>
    </row>
    <row r="185">
      <c r="A185">
        <v>1186</v>
      </c>
      <c r="B185">
        <v>6750290.3880000003</v>
      </c>
      <c r="C185">
        <v>2206971.6570000001</v>
      </c>
      <c r="D185">
        <v>2.1320510000000001</v>
      </c>
    </row>
    <row r="186">
      <c r="A186">
        <v>1187</v>
      </c>
      <c r="B186">
        <v>6750290.9239999996</v>
      </c>
      <c r="C186">
        <v>2206984.7280000001</v>
      </c>
      <c r="D186">
        <v>1.849583</v>
      </c>
    </row>
    <row r="187">
      <c r="A187">
        <v>1188</v>
      </c>
      <c r="B187">
        <v>6750289.9639999997</v>
      </c>
      <c r="C187">
        <v>2206994.2829999998</v>
      </c>
      <c r="D187">
        <v>1.285903</v>
      </c>
    </row>
    <row r="188">
      <c r="A188">
        <v>1189</v>
      </c>
      <c r="B188">
        <v>6750289.8430000003</v>
      </c>
      <c r="C188">
        <v>2207006.2590000001</v>
      </c>
      <c r="D188">
        <v>0.77539800000000003</v>
      </c>
    </row>
    <row r="189">
      <c r="A189">
        <v>1190</v>
      </c>
      <c r="B189">
        <v>6750289.7180000003</v>
      </c>
      <c r="C189">
        <v>2207016.0899999999</v>
      </c>
      <c r="D189">
        <v>0.52266900000000005</v>
      </c>
    </row>
    <row r="190">
      <c r="A190">
        <v>1191</v>
      </c>
      <c r="B190">
        <v>6750290.6090000002</v>
      </c>
      <c r="C190">
        <v>2207028.6889999998</v>
      </c>
      <c r="D190">
        <v>0.38447599999999998</v>
      </c>
    </row>
    <row r="191">
      <c r="A191">
        <v>1192</v>
      </c>
      <c r="B191">
        <v>6750290.8499999996</v>
      </c>
      <c r="C191">
        <v>2207041.3900000001</v>
      </c>
      <c r="D191">
        <v>0.37120300000000001</v>
      </c>
    </row>
    <row r="192">
      <c r="A192">
        <v>1193</v>
      </c>
      <c r="B192">
        <v>6750291.1799999997</v>
      </c>
      <c r="C192">
        <v>2207052.2960000001</v>
      </c>
      <c r="D192">
        <v>0.57482</v>
      </c>
    </row>
    <row r="193">
      <c r="A193">
        <v>1194</v>
      </c>
      <c r="B193">
        <v>6750291.9780000001</v>
      </c>
      <c r="C193">
        <v>2207063.5419999999</v>
      </c>
      <c r="D193">
        <v>0.97225899999999998</v>
      </c>
    </row>
    <row r="194">
      <c r="A194">
        <v>1195</v>
      </c>
      <c r="B194">
        <v>6750290.1220000004</v>
      </c>
      <c r="C194">
        <v>2207073.5789999999</v>
      </c>
      <c r="D194">
        <v>1.3161039999999999</v>
      </c>
    </row>
    <row r="195">
      <c r="A195">
        <v>1196</v>
      </c>
      <c r="B195">
        <v>6750288.9869999997</v>
      </c>
      <c r="C195">
        <v>2207085.0060000001</v>
      </c>
      <c r="D195">
        <v>1.812643</v>
      </c>
    </row>
    <row r="196">
      <c r="A196">
        <v>1197</v>
      </c>
      <c r="B196">
        <v>6750287.1330000004</v>
      </c>
      <c r="C196">
        <v>2207094.0359999998</v>
      </c>
      <c r="D196">
        <v>1.681511</v>
      </c>
    </row>
    <row r="197">
      <c r="A197">
        <v>1198</v>
      </c>
      <c r="B197">
        <v>6750285.6979999999</v>
      </c>
      <c r="C197">
        <v>2207105.7629999998</v>
      </c>
      <c r="D197">
        <v>0.929836</v>
      </c>
    </row>
    <row r="198">
      <c r="A198">
        <v>1199</v>
      </c>
      <c r="B198">
        <v>6750283.659</v>
      </c>
      <c r="C198">
        <v>2207115.7510000002</v>
      </c>
      <c r="D198">
        <v>0.15762899999999999</v>
      </c>
    </row>
    <row r="199">
      <c r="A199">
        <v>1200</v>
      </c>
      <c r="B199">
        <v>6750623.4179999996</v>
      </c>
      <c r="C199">
        <v>2207024.1299999999</v>
      </c>
      <c r="D199">
        <v>0.081467999999999999</v>
      </c>
    </row>
    <row r="200">
      <c r="A200">
        <v>1201</v>
      </c>
      <c r="B200">
        <v>6750623.1679999996</v>
      </c>
      <c r="C200">
        <v>2207015.3319999999</v>
      </c>
      <c r="D200">
        <v>1.3913949999999999</v>
      </c>
    </row>
    <row r="201">
      <c r="A201">
        <v>1202</v>
      </c>
      <c r="B201">
        <v>6750623.4450000003</v>
      </c>
      <c r="C201">
        <v>2207006.9900000002</v>
      </c>
      <c r="D201">
        <v>1.372571</v>
      </c>
    </row>
    <row r="202">
      <c r="A202">
        <v>1203</v>
      </c>
      <c r="B202">
        <v>6750623.2230000002</v>
      </c>
      <c r="C202">
        <v>2206996.7149999999</v>
      </c>
      <c r="D202">
        <v>1.2825249999999999</v>
      </c>
    </row>
    <row r="203">
      <c r="A203">
        <v>1204</v>
      </c>
      <c r="B203">
        <v>6750623.3859999999</v>
      </c>
      <c r="C203">
        <v>2206987.4399999999</v>
      </c>
      <c r="D203">
        <v>1.175192</v>
      </c>
    </row>
    <row r="204">
      <c r="A204">
        <v>1205</v>
      </c>
      <c r="B204">
        <v>6750624.2939999998</v>
      </c>
      <c r="C204">
        <v>2206976.432</v>
      </c>
      <c r="D204">
        <v>1.4995810000000001</v>
      </c>
    </row>
    <row r="205">
      <c r="A205">
        <v>1206</v>
      </c>
      <c r="B205">
        <v>6750625.6830000002</v>
      </c>
      <c r="C205">
        <v>2206967.4350000001</v>
      </c>
      <c r="D205">
        <v>1.671468</v>
      </c>
    </row>
    <row r="206">
      <c r="A206">
        <v>1207</v>
      </c>
      <c r="B206">
        <v>6750625.2390000001</v>
      </c>
      <c r="C206">
        <v>2206957.4929999998</v>
      </c>
      <c r="D206">
        <v>1.5018590000000001</v>
      </c>
    </row>
    <row r="207">
      <c r="A207">
        <v>1208</v>
      </c>
      <c r="B207">
        <v>6750626.4539999999</v>
      </c>
      <c r="C207">
        <v>2206947.7760000001</v>
      </c>
      <c r="D207">
        <v>1.174706</v>
      </c>
    </row>
    <row r="208">
      <c r="A208">
        <v>1209</v>
      </c>
      <c r="B208">
        <v>6750627.2410000004</v>
      </c>
      <c r="C208">
        <v>2206937.287</v>
      </c>
      <c r="D208">
        <v>0.91530999999999996</v>
      </c>
    </row>
    <row r="209">
      <c r="A209">
        <v>1210</v>
      </c>
      <c r="B209">
        <v>6750627.568</v>
      </c>
      <c r="C209">
        <v>2206926.5460000001</v>
      </c>
      <c r="D209">
        <v>0.69650299999999998</v>
      </c>
    </row>
    <row r="210">
      <c r="A210">
        <v>1211</v>
      </c>
      <c r="B210">
        <v>6750628.4119999995</v>
      </c>
      <c r="C210">
        <v>2206913.1719999998</v>
      </c>
      <c r="D210">
        <v>0.402169</v>
      </c>
    </row>
    <row r="211">
      <c r="A211">
        <v>1213</v>
      </c>
      <c r="B211">
        <v>6749997.5259999996</v>
      </c>
      <c r="C211">
        <v>2207086.3500000001</v>
      </c>
      <c r="D211">
        <v>1.1593070000000001</v>
      </c>
    </row>
    <row r="212">
      <c r="A212">
        <v>1214</v>
      </c>
      <c r="B212">
        <v>6749994.7549999999</v>
      </c>
      <c r="C212">
        <v>2207075.2140000002</v>
      </c>
      <c r="D212">
        <v>1.30132</v>
      </c>
    </row>
    <row r="213">
      <c r="A213">
        <v>1215</v>
      </c>
      <c r="B213">
        <v>6749991.9060000004</v>
      </c>
      <c r="C213">
        <v>2207064.4029999999</v>
      </c>
      <c r="D213">
        <v>1.5510139999999999</v>
      </c>
    </row>
    <row r="214">
      <c r="A214">
        <v>1216</v>
      </c>
      <c r="B214">
        <v>6749989.5760000004</v>
      </c>
      <c r="C214">
        <v>2207054.2039999999</v>
      </c>
      <c r="D214">
        <v>1.4934810000000001</v>
      </c>
    </row>
    <row r="215">
      <c r="A215">
        <v>1217</v>
      </c>
      <c r="B215">
        <v>6749987.7740000002</v>
      </c>
      <c r="C215">
        <v>2207044.3900000001</v>
      </c>
      <c r="D215">
        <v>1.3439840000000001</v>
      </c>
    </row>
    <row r="216">
      <c r="A216">
        <v>1218</v>
      </c>
      <c r="B216">
        <v>6749986.3370000003</v>
      </c>
      <c r="C216">
        <v>2207035.4029999999</v>
      </c>
      <c r="D216">
        <v>1.6990350000000001</v>
      </c>
    </row>
  </sheetData>
  <sortState ref="A2:D216">
    <sortCondition ref="A2:A216"/>
  </sortState>
  <pageMargins left="0.69999999999999996" right="0.69999999999999996" top="0.75" bottom="0.75" header="0.29999999999999999" footer="0.2999999999999999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>
      <selection activeCell="E6" sqref="E6"/>
    </sheetView>
  </sheetViews>
  <sheetFormatPr defaultRowHeight="15"/>
  <cols>
    <col customWidth="1" min="1" max="1" width="14.28515625"/>
    <col bestFit="1" customWidth="1" min="3" max="4" width="12"/>
    <col customWidth="1" min="5" max="5" width="13.28515625"/>
    <col customWidth="1" min="6" max="7" width="11.28515625"/>
    <col bestFit="1" customWidth="1" min="8" max="8" width="11.85546875"/>
    <col customWidth="1" min="9" max="9" width="11.85546875"/>
    <col customWidth="1" min="10" max="10" width="16"/>
    <col customWidth="1" min="11" max="14" width="11.85546875"/>
    <col customWidth="1" min="15" max="15" width="16.85546875"/>
    <col customWidth="1" min="16" max="18" width="11.85546875"/>
    <col customWidth="1" min="19" max="19" width="1.140625"/>
    <col customWidth="1" min="20" max="20" width="11.28515625"/>
    <col customWidth="1" min="21" max="21" width="13.5703125"/>
    <col customWidth="1" min="22" max="22" width="14.140625"/>
    <col customWidth="1" min="23" max="23" width="18"/>
    <col customWidth="1" min="24" max="25" width="11.28515625"/>
    <col customWidth="1" min="26" max="26" width="13.5703125"/>
    <col customWidth="1" min="27" max="27" width="14.140625"/>
    <col customWidth="1" min="28" max="28" width="18"/>
    <col customWidth="1" min="29" max="29" width="11.28515625"/>
    <col customWidth="1" min="30" max="30" width="10.5703125"/>
    <col customWidth="1" min="31" max="31" width="10.7109375"/>
  </cols>
  <sheetData>
    <row r="1" ht="30">
      <c r="A1" s="87" t="s">
        <v>136</v>
      </c>
      <c r="B1" s="49" t="s">
        <v>0</v>
      </c>
      <c r="C1" s="49" t="s">
        <v>1</v>
      </c>
      <c r="D1" s="49" t="s">
        <v>2</v>
      </c>
      <c r="E1" s="49" t="s">
        <v>3</v>
      </c>
      <c r="F1" s="49" t="s">
        <v>5</v>
      </c>
      <c r="G1" s="50" t="s">
        <v>114</v>
      </c>
      <c r="H1" s="49" t="s">
        <v>115</v>
      </c>
      <c r="I1" s="49" t="s">
        <v>116</v>
      </c>
      <c r="J1" s="49" t="s">
        <v>117</v>
      </c>
      <c r="K1" s="49" t="s">
        <v>118</v>
      </c>
      <c r="L1" s="50" t="s">
        <v>121</v>
      </c>
      <c r="M1" s="49" t="s">
        <v>122</v>
      </c>
      <c r="N1" s="49" t="s">
        <v>123</v>
      </c>
      <c r="O1" s="49" t="s">
        <v>124</v>
      </c>
      <c r="P1" s="49" t="s">
        <v>125</v>
      </c>
      <c r="Q1" s="49" t="s">
        <v>109</v>
      </c>
      <c r="R1" s="49" t="s">
        <v>110</v>
      </c>
      <c r="S1" s="46"/>
      <c r="T1" s="50" t="s">
        <v>114</v>
      </c>
      <c r="U1" s="49" t="s">
        <v>100</v>
      </c>
      <c r="V1" s="49" t="s">
        <v>103</v>
      </c>
      <c r="W1" s="49" t="s">
        <v>119</v>
      </c>
      <c r="X1" s="49" t="s">
        <v>120</v>
      </c>
      <c r="Y1" s="50" t="s">
        <v>121</v>
      </c>
      <c r="Z1" s="49" t="s">
        <v>126</v>
      </c>
      <c r="AA1" s="49" t="s">
        <v>127</v>
      </c>
      <c r="AB1" s="49" t="s">
        <v>128</v>
      </c>
      <c r="AC1" s="49" t="s">
        <v>129</v>
      </c>
      <c r="AD1" s="49" t="s">
        <v>109</v>
      </c>
      <c r="AE1" s="49" t="s">
        <v>110</v>
      </c>
    </row>
    <row r="2">
      <c r="A2" s="46"/>
      <c r="B2" s="46">
        <v>1067</v>
      </c>
      <c r="C2" s="46">
        <v>2208560.963</v>
      </c>
      <c r="D2" s="46">
        <v>6732145.2970000003</v>
      </c>
      <c r="E2" s="46">
        <v>150.80600000000001</v>
      </c>
      <c r="F2" s="46">
        <v>795</v>
      </c>
      <c r="G2" s="52">
        <v>74.71376187923174</v>
      </c>
      <c r="H2" s="46">
        <v>2.4199999999999999</v>
      </c>
      <c r="I2" s="46">
        <v>1.102384</v>
      </c>
      <c r="J2" s="46">
        <f t="shared" ref="J2:J26" si="0">I2-H2</f>
        <v>-1.3176159999999999</v>
      </c>
      <c r="K2" s="46">
        <f t="shared" ref="K2:K26" si="1">ABS(J2)</f>
        <v>1.3176159999999999</v>
      </c>
      <c r="L2" s="51">
        <f t="shared" ref="L2:L26" si="2">G2*0.3048</f>
        <v>22.772754620789836</v>
      </c>
      <c r="M2" s="51">
        <f t="shared" ref="M2:M26" si="3">H2*0.3048</f>
        <v>0.73761600000000005</v>
      </c>
      <c r="N2" s="51">
        <f t="shared" ref="N2:N26" si="4">I2*0.3048</f>
        <v>0.33600664320000001</v>
      </c>
      <c r="O2" s="51">
        <f t="shared" ref="O2:O26" si="5">J2*0.3048</f>
        <v>-0.40160935679999998</v>
      </c>
      <c r="P2" s="51">
        <f t="shared" ref="P2:P26" si="6">K2*0.3048</f>
        <v>0.40160935679999998</v>
      </c>
      <c r="Q2" s="52">
        <f t="shared" ref="Q2:Q26" si="7">100*J2/H2</f>
        <v>-54.446942148760328</v>
      </c>
      <c r="R2" s="52">
        <f t="shared" ref="R2:R26" si="8">ABS(Q2)</f>
        <v>54.446942148760328</v>
      </c>
      <c r="S2" s="46"/>
      <c r="T2" s="52">
        <v>74.71376187923174</v>
      </c>
      <c r="U2" s="52">
        <v>1.1499999999999999</v>
      </c>
      <c r="V2" s="52">
        <v>3.6267399999999999</v>
      </c>
      <c r="W2" s="52">
        <f t="shared" ref="W2:W26" si="9">V2-U2</f>
        <v>2.4767399999999999</v>
      </c>
      <c r="X2" s="52">
        <f t="shared" ref="X2:X26" si="10">ABS(W2)</f>
        <v>2.4767399999999999</v>
      </c>
      <c r="Y2" s="52">
        <f t="shared" ref="Y2:Y26" si="11">T2*0.3048</f>
        <v>22.772754620789836</v>
      </c>
      <c r="Z2" s="52">
        <f t="shared" ref="Z2:Z26" si="12">U2*0.3048</f>
        <v>0.35052</v>
      </c>
      <c r="AA2" s="52">
        <f t="shared" ref="AA2:AA26" si="13">V2*0.3048</f>
        <v>1.1054303519999999</v>
      </c>
      <c r="AB2" s="52">
        <f t="shared" ref="AB2:AB26" si="14">W2*0.3048</f>
        <v>0.75491035200000001</v>
      </c>
      <c r="AC2" s="52">
        <f t="shared" ref="AC2:AC26" si="15">X2*0.3048</f>
        <v>0.75491035200000001</v>
      </c>
      <c r="AD2" s="52">
        <f t="shared" ref="AD2:AD26" si="16">100*W2/U2</f>
        <v>215.36869565217393</v>
      </c>
      <c r="AE2" s="52">
        <f t="shared" ref="AE2:AE26" si="17">ABS(AD2)</f>
        <v>215.36869565217393</v>
      </c>
    </row>
    <row r="3">
      <c r="A3" s="46"/>
      <c r="B3" s="46">
        <v>1027</v>
      </c>
      <c r="C3" s="46">
        <v>2204536.5690000001</v>
      </c>
      <c r="D3" s="46">
        <v>6721996.8859999999</v>
      </c>
      <c r="E3" s="46">
        <v>130.85499999999999</v>
      </c>
      <c r="F3" s="46">
        <v>795</v>
      </c>
      <c r="G3" s="52">
        <v>58.98134510914138</v>
      </c>
      <c r="H3" s="46">
        <v>0.20000000000000001</v>
      </c>
      <c r="I3" s="46">
        <v>0.84806800000000004</v>
      </c>
      <c r="J3" s="46">
        <f t="shared" si="0"/>
        <v>0.64806800000000009</v>
      </c>
      <c r="K3" s="46">
        <f t="shared" si="1"/>
        <v>0.64806800000000009</v>
      </c>
      <c r="L3" s="51">
        <f t="shared" si="2"/>
        <v>17.977513989266292</v>
      </c>
      <c r="M3" s="51">
        <f t="shared" si="3"/>
        <v>0.060960000000000007</v>
      </c>
      <c r="N3" s="51">
        <f t="shared" si="4"/>
        <v>0.25849112640000005</v>
      </c>
      <c r="O3" s="51">
        <f t="shared" si="5"/>
        <v>0.19753112640000003</v>
      </c>
      <c r="P3" s="51">
        <f t="shared" si="6"/>
        <v>0.19753112640000003</v>
      </c>
      <c r="Q3" s="52">
        <f t="shared" si="7"/>
        <v>324.03400000000005</v>
      </c>
      <c r="R3" s="52">
        <f t="shared" si="8"/>
        <v>324.03400000000005</v>
      </c>
      <c r="S3" s="46"/>
      <c r="T3" s="52">
        <v>58.98134510914138</v>
      </c>
      <c r="U3" s="52">
        <v>0.49212</v>
      </c>
      <c r="V3" s="52">
        <v>1.2656879999999999</v>
      </c>
      <c r="W3" s="52">
        <f t="shared" si="9"/>
        <v>0.77356799999999992</v>
      </c>
      <c r="X3" s="52">
        <f t="shared" si="10"/>
        <v>0.77356799999999992</v>
      </c>
      <c r="Y3" s="52">
        <f t="shared" si="11"/>
        <v>17.977513989266292</v>
      </c>
      <c r="Z3" s="52">
        <f t="shared" si="12"/>
        <v>0.14999817600000001</v>
      </c>
      <c r="AA3" s="52">
        <f t="shared" si="13"/>
        <v>0.38578170239999998</v>
      </c>
      <c r="AB3" s="52">
        <f t="shared" si="14"/>
        <v>0.2357835264</v>
      </c>
      <c r="AC3" s="52">
        <f t="shared" si="15"/>
        <v>0.2357835264</v>
      </c>
      <c r="AD3" s="52">
        <f t="shared" si="16"/>
        <v>157.19092904169713</v>
      </c>
      <c r="AE3" s="52">
        <f t="shared" si="17"/>
        <v>157.19092904169713</v>
      </c>
    </row>
    <row r="4">
      <c r="A4" s="46"/>
      <c r="B4" s="46">
        <v>1049</v>
      </c>
      <c r="C4" s="46">
        <v>2208197.8080000002</v>
      </c>
      <c r="D4" s="46">
        <v>6731089.5530000003</v>
      </c>
      <c r="E4" s="46">
        <v>149.54300000000001</v>
      </c>
      <c r="F4" s="46">
        <v>795</v>
      </c>
      <c r="G4" s="52">
        <v>29.671231005688281</v>
      </c>
      <c r="H4" s="46">
        <v>0.56000000000000005</v>
      </c>
      <c r="I4" s="46">
        <v>1.0346649999999999</v>
      </c>
      <c r="J4" s="46">
        <f t="shared" si="0"/>
        <v>0.47466499999999989</v>
      </c>
      <c r="K4" s="46">
        <f t="shared" si="1"/>
        <v>0.47466499999999989</v>
      </c>
      <c r="L4" s="51">
        <f t="shared" si="2"/>
        <v>9.0437912105337883</v>
      </c>
      <c r="M4" s="51">
        <f t="shared" si="3"/>
        <v>0.17068800000000003</v>
      </c>
      <c r="N4" s="51">
        <f t="shared" si="4"/>
        <v>0.31536589199999998</v>
      </c>
      <c r="O4" s="51">
        <f t="shared" si="5"/>
        <v>0.14467789199999997</v>
      </c>
      <c r="P4" s="51">
        <f t="shared" si="6"/>
        <v>0.14467789199999997</v>
      </c>
      <c r="Q4" s="52">
        <f t="shared" si="7"/>
        <v>84.761607142857116</v>
      </c>
      <c r="R4" s="52">
        <f t="shared" si="8"/>
        <v>84.761607142857116</v>
      </c>
      <c r="S4" s="46"/>
      <c r="T4" s="52">
        <v>29.671231005688281</v>
      </c>
      <c r="U4" s="52">
        <v>0.42650400000000005</v>
      </c>
      <c r="V4" s="52">
        <v>1.071464</v>
      </c>
      <c r="W4" s="52">
        <f t="shared" si="9"/>
        <v>0.64495999999999998</v>
      </c>
      <c r="X4" s="52">
        <f t="shared" si="10"/>
        <v>0.64495999999999998</v>
      </c>
      <c r="Y4" s="52">
        <f t="shared" si="11"/>
        <v>9.0437912105337883</v>
      </c>
      <c r="Z4" s="52">
        <f t="shared" si="12"/>
        <v>0.12999841920000002</v>
      </c>
      <c r="AA4" s="52">
        <f t="shared" si="13"/>
        <v>0.32658222720000002</v>
      </c>
      <c r="AB4" s="52">
        <f t="shared" si="14"/>
        <v>0.196583808</v>
      </c>
      <c r="AC4" s="52">
        <f t="shared" si="15"/>
        <v>0.196583808</v>
      </c>
      <c r="AD4" s="52">
        <f t="shared" si="16"/>
        <v>151.22015268321044</v>
      </c>
      <c r="AE4" s="52">
        <f t="shared" si="17"/>
        <v>151.22015268321044</v>
      </c>
      <c r="AH4" s="14">
        <v>0.20000000000000001</v>
      </c>
    </row>
    <row r="5">
      <c r="A5" s="46"/>
      <c r="B5" s="46">
        <v>1026</v>
      </c>
      <c r="C5" s="46">
        <v>2204529.9199999999</v>
      </c>
      <c r="D5" s="46">
        <v>6721997.1730000004</v>
      </c>
      <c r="E5" s="46">
        <v>130.72800000000001</v>
      </c>
      <c r="F5" s="46">
        <v>795</v>
      </c>
      <c r="G5" s="52">
        <v>52.326153902042378</v>
      </c>
      <c r="H5" s="46">
        <v>0.46000000000000002</v>
      </c>
      <c r="I5" s="46">
        <v>1.033128</v>
      </c>
      <c r="J5" s="46">
        <f t="shared" si="0"/>
        <v>0.57312800000000008</v>
      </c>
      <c r="K5" s="46">
        <f t="shared" si="1"/>
        <v>0.57312800000000008</v>
      </c>
      <c r="L5" s="51">
        <f t="shared" si="2"/>
        <v>15.949011709342518</v>
      </c>
      <c r="M5" s="51">
        <f t="shared" si="3"/>
        <v>0.140208</v>
      </c>
      <c r="N5" s="51">
        <f t="shared" si="4"/>
        <v>0.31489741440000002</v>
      </c>
      <c r="O5" s="51">
        <f t="shared" si="5"/>
        <v>0.17468941440000002</v>
      </c>
      <c r="P5" s="51">
        <f t="shared" si="6"/>
        <v>0.17468941440000002</v>
      </c>
      <c r="Q5" s="52">
        <f t="shared" si="7"/>
        <v>124.59304347826088</v>
      </c>
      <c r="R5" s="52">
        <f t="shared" si="8"/>
        <v>124.59304347826088</v>
      </c>
      <c r="S5" s="46"/>
      <c r="T5" s="52">
        <v>52.326153902042378</v>
      </c>
      <c r="U5" s="52">
        <v>0.65000000000000002</v>
      </c>
      <c r="V5" s="52">
        <v>1.5861339999999999</v>
      </c>
      <c r="W5" s="52">
        <f t="shared" si="9"/>
        <v>0.93613399999999991</v>
      </c>
      <c r="X5" s="52">
        <f t="shared" si="10"/>
        <v>0.93613399999999991</v>
      </c>
      <c r="Y5" s="52">
        <f t="shared" si="11"/>
        <v>15.949011709342518</v>
      </c>
      <c r="Z5" s="52">
        <f t="shared" si="12"/>
        <v>0.19812000000000002</v>
      </c>
      <c r="AA5" s="52">
        <f t="shared" si="13"/>
        <v>0.48345364320000001</v>
      </c>
      <c r="AB5" s="52">
        <f t="shared" si="14"/>
        <v>0.28533364319999999</v>
      </c>
      <c r="AC5" s="52">
        <f t="shared" si="15"/>
        <v>0.28533364319999999</v>
      </c>
      <c r="AD5" s="52">
        <f t="shared" si="16"/>
        <v>144.02061538461535</v>
      </c>
      <c r="AE5" s="52">
        <f t="shared" si="17"/>
        <v>144.02061538461535</v>
      </c>
      <c r="AH5" s="14">
        <v>0.40000000000000002</v>
      </c>
    </row>
    <row r="6">
      <c r="A6" s="46"/>
      <c r="B6" s="46">
        <v>1066</v>
      </c>
      <c r="C6" s="46">
        <v>2208548.1880000001</v>
      </c>
      <c r="D6" s="46">
        <v>6732147.5640000002</v>
      </c>
      <c r="E6" s="46">
        <v>150.74100000000001</v>
      </c>
      <c r="F6" s="46">
        <v>795</v>
      </c>
      <c r="G6" s="52">
        <v>61.739174641188804</v>
      </c>
      <c r="H6" s="46">
        <v>2.6899999999999999</v>
      </c>
      <c r="I6" s="46">
        <v>0.97821400000000003</v>
      </c>
      <c r="J6" s="46">
        <f t="shared" si="0"/>
        <v>-1.711786</v>
      </c>
      <c r="K6" s="46">
        <f t="shared" si="1"/>
        <v>1.711786</v>
      </c>
      <c r="L6" s="51">
        <f t="shared" si="2"/>
        <v>18.818100430634349</v>
      </c>
      <c r="M6" s="51">
        <f t="shared" si="3"/>
        <v>0.81991199999999997</v>
      </c>
      <c r="N6" s="51">
        <f t="shared" si="4"/>
        <v>0.2981596272</v>
      </c>
      <c r="O6" s="51">
        <f t="shared" si="5"/>
        <v>-0.52175237280000009</v>
      </c>
      <c r="P6" s="51">
        <f t="shared" si="6"/>
        <v>0.52175237280000009</v>
      </c>
      <c r="Q6" s="52">
        <f t="shared" si="7"/>
        <v>-63.635167286245363</v>
      </c>
      <c r="R6" s="52">
        <f t="shared" si="8"/>
        <v>63.635167286245363</v>
      </c>
      <c r="S6" s="46"/>
      <c r="T6" s="52">
        <v>61.739174641188804</v>
      </c>
      <c r="U6" s="52">
        <v>1.2138960000000001</v>
      </c>
      <c r="V6" s="52">
        <v>2.9496699999999998</v>
      </c>
      <c r="W6" s="52">
        <f t="shared" si="9"/>
        <v>1.7357739999999997</v>
      </c>
      <c r="X6" s="52">
        <f t="shared" si="10"/>
        <v>1.7357739999999997</v>
      </c>
      <c r="Y6" s="52">
        <f t="shared" si="11"/>
        <v>18.818100430634349</v>
      </c>
      <c r="Z6" s="52">
        <f t="shared" si="12"/>
        <v>0.36999550080000004</v>
      </c>
      <c r="AA6" s="52">
        <f t="shared" si="13"/>
        <v>0.89905941599999994</v>
      </c>
      <c r="AB6" s="52">
        <f t="shared" si="14"/>
        <v>0.52906391519999996</v>
      </c>
      <c r="AC6" s="52">
        <f t="shared" si="15"/>
        <v>0.52906391519999996</v>
      </c>
      <c r="AD6" s="52">
        <f t="shared" si="16"/>
        <v>142.99198613390271</v>
      </c>
      <c r="AE6" s="52">
        <f t="shared" si="17"/>
        <v>142.99198613390271</v>
      </c>
      <c r="AH6" s="14">
        <v>0.59999999999999998</v>
      </c>
    </row>
    <row r="7">
      <c r="A7" s="75" t="s">
        <v>91</v>
      </c>
      <c r="B7" s="72">
        <v>1113</v>
      </c>
      <c r="C7" s="72">
        <v>2201620.6140000001</v>
      </c>
      <c r="D7" s="72">
        <v>6717971.4479999999</v>
      </c>
      <c r="E7" s="72">
        <v>106.84699999999999</v>
      </c>
      <c r="F7" s="72">
        <v>539</v>
      </c>
      <c r="G7" s="72">
        <v>8.2131458645493094</v>
      </c>
      <c r="H7" s="72">
        <v>0.89000000000000001</v>
      </c>
      <c r="I7" s="72">
        <v>2.0901049999999999</v>
      </c>
      <c r="J7" s="72">
        <f t="shared" si="0"/>
        <v>1.2001049999999998</v>
      </c>
      <c r="K7" s="72">
        <f t="shared" si="1"/>
        <v>1.2001049999999998</v>
      </c>
      <c r="L7" s="73">
        <f t="shared" si="2"/>
        <v>2.5033668595146294</v>
      </c>
      <c r="M7" s="73">
        <f t="shared" si="3"/>
        <v>0.27127200000000001</v>
      </c>
      <c r="N7" s="73">
        <f t="shared" si="4"/>
        <v>0.63706400399999996</v>
      </c>
      <c r="O7" s="73">
        <f t="shared" si="5"/>
        <v>0.36579200399999995</v>
      </c>
      <c r="P7" s="73">
        <f t="shared" si="6"/>
        <v>0.36579200399999995</v>
      </c>
      <c r="Q7" s="74">
        <f t="shared" si="7"/>
        <v>134.84325842696626</v>
      </c>
      <c r="R7" s="74">
        <f t="shared" si="8"/>
        <v>134.84325842696626</v>
      </c>
      <c r="S7" s="72"/>
      <c r="T7" s="72">
        <v>8.2131458645493094</v>
      </c>
      <c r="U7" s="74">
        <v>0.36088800000000004</v>
      </c>
      <c r="V7" s="74">
        <v>0.80178400000000005</v>
      </c>
      <c r="W7" s="74">
        <f t="shared" si="9"/>
        <v>0.44089600000000001</v>
      </c>
      <c r="X7" s="74">
        <f t="shared" si="10"/>
        <v>0.44089600000000001</v>
      </c>
      <c r="Y7" s="74">
        <f t="shared" si="11"/>
        <v>2.5033668595146294</v>
      </c>
      <c r="Z7" s="74">
        <f t="shared" si="12"/>
        <v>0.10999866240000002</v>
      </c>
      <c r="AA7" s="74">
        <f t="shared" si="13"/>
        <v>0.24438376320000002</v>
      </c>
      <c r="AB7" s="74">
        <f t="shared" si="14"/>
        <v>0.13438510080000002</v>
      </c>
      <c r="AC7" s="74">
        <f t="shared" si="15"/>
        <v>0.13438510080000002</v>
      </c>
      <c r="AD7" s="74">
        <f t="shared" si="16"/>
        <v>122.16975903881537</v>
      </c>
      <c r="AE7" s="74">
        <f t="shared" si="17"/>
        <v>122.16975903881537</v>
      </c>
      <c r="AH7" s="14">
        <v>0.80000000000000004</v>
      </c>
    </row>
    <row r="8">
      <c r="A8" s="46"/>
      <c r="B8" s="46">
        <v>1065</v>
      </c>
      <c r="C8" s="46">
        <v>2208536.727</v>
      </c>
      <c r="D8" s="46">
        <v>6732149.1179999998</v>
      </c>
      <c r="E8" s="46">
        <v>150.80500000000001</v>
      </c>
      <c r="F8" s="46">
        <v>795</v>
      </c>
      <c r="G8" s="52">
        <v>50.173300830643072</v>
      </c>
      <c r="H8" s="46">
        <v>2.79</v>
      </c>
      <c r="I8" s="46">
        <v>0.99722</v>
      </c>
      <c r="J8" s="46">
        <f t="shared" si="0"/>
        <v>-1.79278</v>
      </c>
      <c r="K8" s="46">
        <f t="shared" si="1"/>
        <v>1.79278</v>
      </c>
      <c r="L8" s="51">
        <f t="shared" si="2"/>
        <v>15.292822093180009</v>
      </c>
      <c r="M8" s="51">
        <f t="shared" si="3"/>
        <v>0.85039200000000004</v>
      </c>
      <c r="N8" s="51">
        <f t="shared" si="4"/>
        <v>0.30395265599999999</v>
      </c>
      <c r="O8" s="51">
        <f t="shared" si="5"/>
        <v>-0.54643934400000005</v>
      </c>
      <c r="P8" s="51">
        <f t="shared" si="6"/>
        <v>0.54643934400000005</v>
      </c>
      <c r="Q8" s="52">
        <f t="shared" si="7"/>
        <v>-64.257347670250894</v>
      </c>
      <c r="R8" s="52">
        <f t="shared" si="8"/>
        <v>64.257347670250894</v>
      </c>
      <c r="S8" s="46"/>
      <c r="T8" s="52">
        <v>50.173300830643072</v>
      </c>
      <c r="U8" s="52">
        <v>1.0826640000000001</v>
      </c>
      <c r="V8" s="52">
        <v>2.2526190000000001</v>
      </c>
      <c r="W8" s="52">
        <f t="shared" si="9"/>
        <v>1.1699550000000001</v>
      </c>
      <c r="X8" s="52">
        <f t="shared" si="10"/>
        <v>1.1699550000000001</v>
      </c>
      <c r="Y8" s="52">
        <f t="shared" si="11"/>
        <v>15.292822093180009</v>
      </c>
      <c r="Z8" s="52">
        <f t="shared" si="12"/>
        <v>0.32999598720000006</v>
      </c>
      <c r="AA8" s="52">
        <f t="shared" si="13"/>
        <v>0.68659827120000005</v>
      </c>
      <c r="AB8" s="52">
        <f t="shared" si="14"/>
        <v>0.35660228400000005</v>
      </c>
      <c r="AC8" s="52">
        <f t="shared" si="15"/>
        <v>0.35660228400000005</v>
      </c>
      <c r="AD8" s="52">
        <f t="shared" si="16"/>
        <v>108.06261222318281</v>
      </c>
      <c r="AE8" s="52">
        <f t="shared" si="17"/>
        <v>108.06261222318281</v>
      </c>
      <c r="AH8" s="14">
        <v>1</v>
      </c>
    </row>
    <row r="9">
      <c r="A9" s="46"/>
      <c r="B9" s="46">
        <v>1025</v>
      </c>
      <c r="C9" s="46">
        <v>2204523.3769999999</v>
      </c>
      <c r="D9" s="46">
        <v>6721997.6320000002</v>
      </c>
      <c r="E9" s="46">
        <v>130.53299999999999</v>
      </c>
      <c r="F9" s="46">
        <v>795</v>
      </c>
      <c r="G9" s="52">
        <v>45.767073936022442</v>
      </c>
      <c r="H9" s="46">
        <v>0.62</v>
      </c>
      <c r="I9" s="46">
        <v>1.1993689999999999</v>
      </c>
      <c r="J9" s="46">
        <f t="shared" si="0"/>
        <v>0.57936899999999991</v>
      </c>
      <c r="K9" s="46">
        <f t="shared" si="1"/>
        <v>0.57936899999999991</v>
      </c>
      <c r="L9" s="51">
        <f t="shared" si="2"/>
        <v>13.94980413569964</v>
      </c>
      <c r="M9" s="51">
        <f t="shared" si="3"/>
        <v>0.18897600000000001</v>
      </c>
      <c r="N9" s="51">
        <f t="shared" si="4"/>
        <v>0.3655676712</v>
      </c>
      <c r="O9" s="51">
        <f t="shared" si="5"/>
        <v>0.17659167119999999</v>
      </c>
      <c r="P9" s="51">
        <f t="shared" si="6"/>
        <v>0.17659167119999999</v>
      </c>
      <c r="Q9" s="52">
        <f t="shared" si="7"/>
        <v>93.446612903225798</v>
      </c>
      <c r="R9" s="52">
        <f t="shared" si="8"/>
        <v>93.446612903225798</v>
      </c>
      <c r="S9" s="46"/>
      <c r="T9" s="52">
        <v>45.767073936022442</v>
      </c>
      <c r="U9" s="52">
        <v>0.95143199999999994</v>
      </c>
      <c r="V9" s="52">
        <v>1.8474790000000001</v>
      </c>
      <c r="W9" s="52">
        <f t="shared" si="9"/>
        <v>0.89604700000000015</v>
      </c>
      <c r="X9" s="52">
        <f t="shared" si="10"/>
        <v>0.89604700000000015</v>
      </c>
      <c r="Y9" s="52">
        <f t="shared" si="11"/>
        <v>13.94980413569964</v>
      </c>
      <c r="Z9" s="52">
        <f t="shared" si="12"/>
        <v>0.28999647359999997</v>
      </c>
      <c r="AA9" s="52">
        <f t="shared" si="13"/>
        <v>0.56311159920000009</v>
      </c>
      <c r="AB9" s="52">
        <f t="shared" si="14"/>
        <v>0.27311512560000006</v>
      </c>
      <c r="AC9" s="52">
        <f t="shared" si="15"/>
        <v>0.27311512560000006</v>
      </c>
      <c r="AD9" s="52">
        <f t="shared" si="16"/>
        <v>94.178774731142127</v>
      </c>
      <c r="AE9" s="52">
        <f t="shared" si="17"/>
        <v>94.178774731142127</v>
      </c>
      <c r="AH9" s="14">
        <v>1.2</v>
      </c>
    </row>
    <row r="10">
      <c r="A10" s="46"/>
      <c r="B10" s="46">
        <v>1111</v>
      </c>
      <c r="C10" s="46">
        <v>2201937.1209999998</v>
      </c>
      <c r="D10" s="46">
        <v>6718315.9170000004</v>
      </c>
      <c r="E10" s="46">
        <v>106.80500000000001</v>
      </c>
      <c r="F10" s="46">
        <v>539</v>
      </c>
      <c r="G10" s="46">
        <v>176.72947563175941</v>
      </c>
      <c r="H10" s="46">
        <v>1.1100000000000001</v>
      </c>
      <c r="I10" s="46">
        <v>1.285577</v>
      </c>
      <c r="J10" s="46">
        <f t="shared" si="0"/>
        <v>0.17557699999999987</v>
      </c>
      <c r="K10" s="46">
        <f t="shared" si="1"/>
        <v>0.17557699999999987</v>
      </c>
      <c r="L10" s="51">
        <f t="shared" si="2"/>
        <v>53.867144172560273</v>
      </c>
      <c r="M10" s="51">
        <f t="shared" si="3"/>
        <v>0.33832800000000007</v>
      </c>
      <c r="N10" s="51">
        <f t="shared" si="4"/>
        <v>0.39184386960000001</v>
      </c>
      <c r="O10" s="51">
        <f t="shared" si="5"/>
        <v>0.053515869599999967</v>
      </c>
      <c r="P10" s="51">
        <f t="shared" si="6"/>
        <v>0.053515869599999967</v>
      </c>
      <c r="Q10" s="52">
        <f t="shared" si="7"/>
        <v>15.817747747747735</v>
      </c>
      <c r="R10" s="52">
        <f t="shared" si="8"/>
        <v>15.817747747747735</v>
      </c>
      <c r="S10" s="46"/>
      <c r="T10" s="46">
        <v>176.72947563175941</v>
      </c>
      <c r="U10" s="52">
        <v>1.6000000000000001</v>
      </c>
      <c r="V10" s="52">
        <v>2.8793739999999999</v>
      </c>
      <c r="W10" s="52">
        <f t="shared" si="9"/>
        <v>1.2793739999999998</v>
      </c>
      <c r="X10" s="52">
        <f t="shared" si="10"/>
        <v>1.2793739999999998</v>
      </c>
      <c r="Y10" s="52">
        <f t="shared" si="11"/>
        <v>53.867144172560273</v>
      </c>
      <c r="Z10" s="52">
        <f t="shared" si="12"/>
        <v>0.48768000000000006</v>
      </c>
      <c r="AA10" s="52">
        <f t="shared" si="13"/>
        <v>0.87763319520000005</v>
      </c>
      <c r="AB10" s="52">
        <f t="shared" si="14"/>
        <v>0.38995319519999994</v>
      </c>
      <c r="AC10" s="52">
        <f t="shared" si="15"/>
        <v>0.38995319519999994</v>
      </c>
      <c r="AD10" s="52">
        <f t="shared" si="16"/>
        <v>79.960874999999987</v>
      </c>
      <c r="AE10" s="52">
        <f t="shared" si="17"/>
        <v>79.960874999999987</v>
      </c>
      <c r="AH10" s="14">
        <v>1.3999999999999999</v>
      </c>
    </row>
    <row r="11">
      <c r="A11" s="46"/>
      <c r="B11" s="46">
        <v>1174</v>
      </c>
      <c r="C11" s="46">
        <v>2194381.3599999999</v>
      </c>
      <c r="D11" s="46">
        <v>6703225.4189999998</v>
      </c>
      <c r="E11" s="46">
        <v>74.629999999999995</v>
      </c>
      <c r="F11" s="46">
        <v>539</v>
      </c>
      <c r="G11" s="46">
        <v>83.882114875523669</v>
      </c>
      <c r="H11" s="46">
        <v>1.3799999999999999</v>
      </c>
      <c r="I11" s="46">
        <v>2.0405799999999998</v>
      </c>
      <c r="J11" s="46">
        <f t="shared" si="0"/>
        <v>0.66057999999999995</v>
      </c>
      <c r="K11" s="46">
        <f t="shared" si="1"/>
        <v>0.66057999999999995</v>
      </c>
      <c r="L11" s="51">
        <f t="shared" si="2"/>
        <v>25.567268614059614</v>
      </c>
      <c r="M11" s="51">
        <f t="shared" si="3"/>
        <v>0.420624</v>
      </c>
      <c r="N11" s="51">
        <f t="shared" si="4"/>
        <v>0.621968784</v>
      </c>
      <c r="O11" s="51">
        <f t="shared" si="5"/>
        <v>0.201344784</v>
      </c>
      <c r="P11" s="51">
        <f t="shared" si="6"/>
        <v>0.201344784</v>
      </c>
      <c r="Q11" s="52">
        <f t="shared" si="7"/>
        <v>47.868115942028986</v>
      </c>
      <c r="R11" s="52">
        <f t="shared" si="8"/>
        <v>47.868115942028986</v>
      </c>
      <c r="S11" s="46"/>
      <c r="T11" s="46">
        <v>83.882114875523669</v>
      </c>
      <c r="U11" s="52">
        <v>0.36088800000000004</v>
      </c>
      <c r="V11" s="52">
        <v>0.64272300000000004</v>
      </c>
      <c r="W11" s="52">
        <f t="shared" si="9"/>
        <v>0.281835</v>
      </c>
      <c r="X11" s="52">
        <f t="shared" si="10"/>
        <v>0.281835</v>
      </c>
      <c r="Y11" s="52">
        <f t="shared" si="11"/>
        <v>25.567268614059614</v>
      </c>
      <c r="Z11" s="52">
        <f t="shared" si="12"/>
        <v>0.10999866240000002</v>
      </c>
      <c r="AA11" s="52">
        <f t="shared" si="13"/>
        <v>0.19590197040000001</v>
      </c>
      <c r="AB11" s="52">
        <f t="shared" si="14"/>
        <v>0.085903308000000012</v>
      </c>
      <c r="AC11" s="52">
        <f t="shared" si="15"/>
        <v>0.085903308000000012</v>
      </c>
      <c r="AD11" s="52">
        <f t="shared" si="16"/>
        <v>78.094865997206881</v>
      </c>
      <c r="AE11" s="52">
        <f t="shared" si="17"/>
        <v>78.094865997206881</v>
      </c>
      <c r="AH11" s="14">
        <v>1.6000000000000001</v>
      </c>
    </row>
    <row r="12">
      <c r="A12" s="46"/>
      <c r="B12" s="46">
        <v>1061</v>
      </c>
      <c r="C12" s="46">
        <v>2208057.4900000002</v>
      </c>
      <c r="D12" s="46">
        <v>6731145.9029999999</v>
      </c>
      <c r="E12" s="46">
        <v>149.215</v>
      </c>
      <c r="F12" s="46">
        <v>795</v>
      </c>
      <c r="G12" s="52">
        <v>181.54964738319043</v>
      </c>
      <c r="H12" s="46">
        <v>0.97999999999999998</v>
      </c>
      <c r="I12" s="46">
        <v>0.83909400000000001</v>
      </c>
      <c r="J12" s="46">
        <f t="shared" si="0"/>
        <v>-0.14090599999999998</v>
      </c>
      <c r="K12" s="46">
        <f t="shared" si="1"/>
        <v>0.14090599999999998</v>
      </c>
      <c r="L12" s="51">
        <f t="shared" si="2"/>
        <v>55.336332522396447</v>
      </c>
      <c r="M12" s="51">
        <f t="shared" si="3"/>
        <v>0.29870400000000003</v>
      </c>
      <c r="N12" s="51">
        <f t="shared" si="4"/>
        <v>0.2557558512</v>
      </c>
      <c r="O12" s="51">
        <f t="shared" si="5"/>
        <v>-0.042948148799999995</v>
      </c>
      <c r="P12" s="51">
        <f t="shared" si="6"/>
        <v>0.042948148799999995</v>
      </c>
      <c r="Q12" s="52">
        <f t="shared" si="7"/>
        <v>-14.378163265306121</v>
      </c>
      <c r="R12" s="52">
        <f t="shared" si="8"/>
        <v>14.378163265306121</v>
      </c>
      <c r="S12" s="46"/>
      <c r="T12" s="52">
        <v>181.54964738319043</v>
      </c>
      <c r="U12" s="52">
        <v>1.2795120000000002</v>
      </c>
      <c r="V12" s="52">
        <v>0.32944800000000002</v>
      </c>
      <c r="W12" s="52">
        <f t="shared" si="9"/>
        <v>-0.95006400000000024</v>
      </c>
      <c r="X12" s="52">
        <f t="shared" si="10"/>
        <v>0.95006400000000024</v>
      </c>
      <c r="Y12" s="52">
        <f t="shared" si="11"/>
        <v>55.336332522396447</v>
      </c>
      <c r="Z12" s="52">
        <f t="shared" si="12"/>
        <v>0.38999525760000009</v>
      </c>
      <c r="AA12" s="52">
        <f t="shared" si="13"/>
        <v>0.10041575040000002</v>
      </c>
      <c r="AB12" s="52">
        <f t="shared" si="14"/>
        <v>-0.28957950720000009</v>
      </c>
      <c r="AC12" s="52">
        <f t="shared" si="15"/>
        <v>0.28957950720000009</v>
      </c>
      <c r="AD12" s="52">
        <f t="shared" si="16"/>
        <v>-74.252058597340252</v>
      </c>
      <c r="AE12" s="52">
        <f t="shared" si="17"/>
        <v>74.252058597340252</v>
      </c>
      <c r="AH12" s="14">
        <v>1.8</v>
      </c>
    </row>
    <row r="13">
      <c r="A13" s="46"/>
      <c r="B13" s="46">
        <v>1024</v>
      </c>
      <c r="C13" s="46">
        <v>2204516.3020000001</v>
      </c>
      <c r="D13" s="46">
        <v>6721997.4380000001</v>
      </c>
      <c r="E13" s="46">
        <v>130.417</v>
      </c>
      <c r="F13" s="46">
        <v>795</v>
      </c>
      <c r="G13" s="52">
        <v>38.689414648087016</v>
      </c>
      <c r="H13" s="46">
        <v>1.1100000000000001</v>
      </c>
      <c r="I13" s="46">
        <v>1.334954</v>
      </c>
      <c r="J13" s="46">
        <f t="shared" si="0"/>
        <v>0.22495399999999988</v>
      </c>
      <c r="K13" s="46">
        <f t="shared" si="1"/>
        <v>0.22495399999999988</v>
      </c>
      <c r="L13" s="51">
        <f t="shared" si="2"/>
        <v>11.792533584736923</v>
      </c>
      <c r="M13" s="51">
        <f t="shared" si="3"/>
        <v>0.33832800000000007</v>
      </c>
      <c r="N13" s="51">
        <f t="shared" si="4"/>
        <v>0.40689397920000003</v>
      </c>
      <c r="O13" s="51">
        <f t="shared" si="5"/>
        <v>0.06856597919999996</v>
      </c>
      <c r="P13" s="51">
        <f t="shared" si="6"/>
        <v>0.06856597919999996</v>
      </c>
      <c r="Q13" s="52">
        <f t="shared" si="7"/>
        <v>20.266126126126114</v>
      </c>
      <c r="R13" s="52">
        <f t="shared" si="8"/>
        <v>20.266126126126114</v>
      </c>
      <c r="S13" s="46"/>
      <c r="T13" s="52">
        <v>38.689414648087016</v>
      </c>
      <c r="U13" s="52">
        <v>1.1000000000000001</v>
      </c>
      <c r="V13" s="52">
        <v>1.89131</v>
      </c>
      <c r="W13" s="52">
        <f t="shared" si="9"/>
        <v>0.79130999999999996</v>
      </c>
      <c r="X13" s="52">
        <f t="shared" si="10"/>
        <v>0.79130999999999996</v>
      </c>
      <c r="Y13" s="52">
        <f t="shared" si="11"/>
        <v>11.792533584736923</v>
      </c>
      <c r="Z13" s="52">
        <f t="shared" si="12"/>
        <v>0.33528000000000002</v>
      </c>
      <c r="AA13" s="52">
        <f t="shared" si="13"/>
        <v>0.57647128800000003</v>
      </c>
      <c r="AB13" s="52">
        <f t="shared" si="14"/>
        <v>0.241191288</v>
      </c>
      <c r="AC13" s="52">
        <f t="shared" si="15"/>
        <v>0.241191288</v>
      </c>
      <c r="AD13" s="52">
        <f t="shared" si="16"/>
        <v>71.937272727272727</v>
      </c>
      <c r="AE13" s="52">
        <f t="shared" si="17"/>
        <v>71.937272727272727</v>
      </c>
      <c r="AH13" s="14">
        <v>2</v>
      </c>
    </row>
    <row r="14" ht="15.75">
      <c r="A14" s="75" t="s">
        <v>46</v>
      </c>
      <c r="B14" s="72">
        <v>1033</v>
      </c>
      <c r="C14" s="72">
        <v>2204799.8760000002</v>
      </c>
      <c r="D14" s="72">
        <v>6722572.1160000004</v>
      </c>
      <c r="E14" s="72">
        <v>132.16999999999999</v>
      </c>
      <c r="F14" s="72">
        <v>795</v>
      </c>
      <c r="G14" s="74">
        <v>7.6859998704795434</v>
      </c>
      <c r="H14" s="72">
        <v>1.05</v>
      </c>
      <c r="I14" s="72">
        <v>1.9285699999999999</v>
      </c>
      <c r="J14" s="72">
        <f t="shared" si="0"/>
        <v>0.87856999999999985</v>
      </c>
      <c r="K14" s="72">
        <f t="shared" si="1"/>
        <v>0.87856999999999985</v>
      </c>
      <c r="L14" s="73">
        <f t="shared" si="2"/>
        <v>2.3426927605221648</v>
      </c>
      <c r="M14" s="73">
        <f t="shared" si="3"/>
        <v>0.32004000000000005</v>
      </c>
      <c r="N14" s="73">
        <f t="shared" si="4"/>
        <v>0.58782813599999995</v>
      </c>
      <c r="O14" s="73">
        <f t="shared" si="5"/>
        <v>0.26778813599999995</v>
      </c>
      <c r="P14" s="73">
        <f t="shared" si="6"/>
        <v>0.26778813599999995</v>
      </c>
      <c r="Q14" s="74">
        <f t="shared" si="7"/>
        <v>83.673333333333318</v>
      </c>
      <c r="R14" s="74">
        <f t="shared" si="8"/>
        <v>83.673333333333318</v>
      </c>
      <c r="S14" s="72"/>
      <c r="T14" s="74">
        <v>7.6859998704795434</v>
      </c>
      <c r="U14" s="74">
        <v>0.42650400000000005</v>
      </c>
      <c r="V14" s="74">
        <v>0.71050599999999997</v>
      </c>
      <c r="W14" s="74">
        <f t="shared" si="9"/>
        <v>0.28400199999999992</v>
      </c>
      <c r="X14" s="74">
        <f t="shared" si="10"/>
        <v>0.28400199999999992</v>
      </c>
      <c r="Y14" s="74">
        <f t="shared" si="11"/>
        <v>2.3426927605221648</v>
      </c>
      <c r="Z14" s="74">
        <f t="shared" si="12"/>
        <v>0.12999841920000002</v>
      </c>
      <c r="AA14" s="74">
        <f t="shared" si="13"/>
        <v>0.21656222880000001</v>
      </c>
      <c r="AB14" s="74">
        <f t="shared" si="14"/>
        <v>0.086563809599999986</v>
      </c>
      <c r="AC14" s="74">
        <f t="shared" si="15"/>
        <v>0.086563809599999986</v>
      </c>
      <c r="AD14" s="74">
        <f t="shared" si="16"/>
        <v>66.588355560557432</v>
      </c>
      <c r="AE14" s="74">
        <f t="shared" si="17"/>
        <v>66.588355560557432</v>
      </c>
    </row>
    <row r="15">
      <c r="A15" s="46"/>
      <c r="B15" s="46">
        <v>1133</v>
      </c>
      <c r="C15" s="46">
        <v>2201391.5950000002</v>
      </c>
      <c r="D15" s="46">
        <v>6717769.1500000004</v>
      </c>
      <c r="E15" s="46">
        <v>103.755</v>
      </c>
      <c r="F15" s="46">
        <v>539</v>
      </c>
      <c r="G15" s="46">
        <v>99.780531691976222</v>
      </c>
      <c r="H15" s="46">
        <v>0.89000000000000001</v>
      </c>
      <c r="I15" s="46">
        <v>0.64166599999999996</v>
      </c>
      <c r="J15" s="46">
        <f t="shared" si="0"/>
        <v>-0.24833400000000005</v>
      </c>
      <c r="K15" s="46">
        <f t="shared" si="1"/>
        <v>0.24833400000000005</v>
      </c>
      <c r="L15" s="51">
        <f t="shared" si="2"/>
        <v>30.413106059714355</v>
      </c>
      <c r="M15" s="51">
        <f t="shared" si="3"/>
        <v>0.27127200000000001</v>
      </c>
      <c r="N15" s="51">
        <f t="shared" si="4"/>
        <v>0.19557979680000001</v>
      </c>
      <c r="O15" s="51">
        <f t="shared" si="5"/>
        <v>-0.075692203200000016</v>
      </c>
      <c r="P15" s="51">
        <f t="shared" si="6"/>
        <v>0.075692203200000016</v>
      </c>
      <c r="Q15" s="52">
        <f t="shared" si="7"/>
        <v>-27.902696629213487</v>
      </c>
      <c r="R15" s="52">
        <f t="shared" si="8"/>
        <v>27.902696629213487</v>
      </c>
      <c r="S15" s="46"/>
      <c r="T15" s="46">
        <v>99.780531691976222</v>
      </c>
      <c r="U15" s="52">
        <v>1.7</v>
      </c>
      <c r="V15" s="52">
        <v>0.59325099999999997</v>
      </c>
      <c r="W15" s="52">
        <f t="shared" si="9"/>
        <v>-1.106749</v>
      </c>
      <c r="X15" s="52">
        <f t="shared" si="10"/>
        <v>1.106749</v>
      </c>
      <c r="Y15" s="52">
        <f t="shared" si="11"/>
        <v>30.413106059714355</v>
      </c>
      <c r="Z15" s="52">
        <f t="shared" si="12"/>
        <v>0.51816000000000006</v>
      </c>
      <c r="AA15" s="52">
        <f t="shared" si="13"/>
        <v>0.18082290479999999</v>
      </c>
      <c r="AB15" s="52">
        <f t="shared" si="14"/>
        <v>-0.33733709519999999</v>
      </c>
      <c r="AC15" s="52">
        <f t="shared" si="15"/>
        <v>0.33733709519999999</v>
      </c>
      <c r="AD15" s="52">
        <f t="shared" si="16"/>
        <v>-65.10288235294118</v>
      </c>
      <c r="AE15" s="52">
        <f t="shared" si="17"/>
        <v>65.10288235294118</v>
      </c>
      <c r="AH15" s="11" t="s">
        <v>133</v>
      </c>
      <c r="AI15" s="11" t="s">
        <v>84</v>
      </c>
      <c r="AJ15" s="11"/>
      <c r="AK15" s="11" t="s">
        <v>85</v>
      </c>
    </row>
    <row r="16">
      <c r="A16" s="75" t="s">
        <v>90</v>
      </c>
      <c r="B16" s="72">
        <v>1097</v>
      </c>
      <c r="C16" s="72">
        <v>2201807.8119999999</v>
      </c>
      <c r="D16" s="72">
        <v>6718418.6390000004</v>
      </c>
      <c r="E16" s="72">
        <v>107.675</v>
      </c>
      <c r="F16" s="72">
        <v>539</v>
      </c>
      <c r="G16" s="72">
        <v>11.30655177278736</v>
      </c>
      <c r="H16" s="72">
        <v>0.62</v>
      </c>
      <c r="I16" s="72">
        <v>0.27717199999999997</v>
      </c>
      <c r="J16" s="72">
        <f t="shared" si="0"/>
        <v>-0.34282800000000002</v>
      </c>
      <c r="K16" s="72">
        <f t="shared" si="1"/>
        <v>0.34282800000000002</v>
      </c>
      <c r="L16" s="73">
        <f t="shared" si="2"/>
        <v>3.4462369803455877</v>
      </c>
      <c r="M16" s="73">
        <f t="shared" si="3"/>
        <v>0.18897600000000001</v>
      </c>
      <c r="N16" s="73">
        <f t="shared" si="4"/>
        <v>0.084482025599999996</v>
      </c>
      <c r="O16" s="73">
        <f t="shared" si="5"/>
        <v>-0.10449397440000001</v>
      </c>
      <c r="P16" s="73">
        <f t="shared" si="6"/>
        <v>0.10449397440000001</v>
      </c>
      <c r="Q16" s="74">
        <f t="shared" si="7"/>
        <v>-55.294838709677421</v>
      </c>
      <c r="R16" s="74">
        <f t="shared" si="8"/>
        <v>55.294838709677421</v>
      </c>
      <c r="S16" s="72"/>
      <c r="T16" s="72">
        <v>11.30655177278736</v>
      </c>
      <c r="U16" s="74">
        <v>0.82020000000000004</v>
      </c>
      <c r="V16" s="74">
        <v>0.30237599999999998</v>
      </c>
      <c r="W16" s="74">
        <f t="shared" si="9"/>
        <v>-0.51782400000000006</v>
      </c>
      <c r="X16" s="74">
        <f t="shared" si="10"/>
        <v>0.51782400000000006</v>
      </c>
      <c r="Y16" s="74">
        <f t="shared" si="11"/>
        <v>3.4462369803455877</v>
      </c>
      <c r="Z16" s="74">
        <f t="shared" si="12"/>
        <v>0.24999696000000002</v>
      </c>
      <c r="AA16" s="74">
        <f t="shared" si="13"/>
        <v>0.092164204799999996</v>
      </c>
      <c r="AB16" s="74">
        <f t="shared" si="14"/>
        <v>-0.15783275520000004</v>
      </c>
      <c r="AC16" s="74">
        <f t="shared" si="15"/>
        <v>0.15783275520000004</v>
      </c>
      <c r="AD16" s="74">
        <f t="shared" si="16"/>
        <v>-63.133869787856632</v>
      </c>
      <c r="AE16" s="74">
        <f t="shared" si="17"/>
        <v>63.133869787856632</v>
      </c>
      <c r="AH16" s="14">
        <v>0.20000000000000001</v>
      </c>
      <c r="AI16" s="9">
        <v>5</v>
      </c>
      <c r="AJ16" s="77">
        <f>AI16/SUM($AI$16:$AI$25)</f>
        <v>0.20000000000000001</v>
      </c>
      <c r="AK16" s="15">
        <v>0.20000000000000001</v>
      </c>
    </row>
    <row r="17">
      <c r="A17" s="46"/>
      <c r="B17" s="46">
        <v>1087</v>
      </c>
      <c r="C17" s="46">
        <v>2202378.5819999999</v>
      </c>
      <c r="D17" s="46">
        <v>6718969.1610000003</v>
      </c>
      <c r="E17" s="46">
        <v>106.843</v>
      </c>
      <c r="F17" s="46">
        <v>539</v>
      </c>
      <c r="G17" s="46">
        <v>29.692370036174587</v>
      </c>
      <c r="H17" s="46">
        <v>4.04</v>
      </c>
      <c r="I17" s="46">
        <v>6.309971</v>
      </c>
      <c r="J17" s="46">
        <f t="shared" si="0"/>
        <v>2.269971</v>
      </c>
      <c r="K17" s="46">
        <f t="shared" si="1"/>
        <v>2.269971</v>
      </c>
      <c r="L17" s="51">
        <f t="shared" si="2"/>
        <v>9.0502343870260145</v>
      </c>
      <c r="M17" s="51">
        <f t="shared" si="3"/>
        <v>1.231392</v>
      </c>
      <c r="N17" s="51">
        <f t="shared" si="4"/>
        <v>1.9232791608000002</v>
      </c>
      <c r="O17" s="51">
        <f t="shared" si="5"/>
        <v>0.69188716080000001</v>
      </c>
      <c r="P17" s="51">
        <f t="shared" si="6"/>
        <v>0.69188716080000001</v>
      </c>
      <c r="Q17" s="52">
        <f t="shared" si="7"/>
        <v>56.187400990099007</v>
      </c>
      <c r="R17" s="52">
        <f t="shared" si="8"/>
        <v>56.187400990099007</v>
      </c>
      <c r="S17" s="46"/>
      <c r="T17" s="46">
        <v>29.692370036174587</v>
      </c>
      <c r="U17" s="52">
        <v>1.5</v>
      </c>
      <c r="V17" s="52">
        <v>2.431565</v>
      </c>
      <c r="W17" s="52">
        <f t="shared" si="9"/>
        <v>0.93156499999999998</v>
      </c>
      <c r="X17" s="52">
        <f t="shared" si="10"/>
        <v>0.93156499999999998</v>
      </c>
      <c r="Y17" s="52">
        <f t="shared" si="11"/>
        <v>9.0502343870260145</v>
      </c>
      <c r="Z17" s="52">
        <f t="shared" si="12"/>
        <v>0.45720000000000005</v>
      </c>
      <c r="AA17" s="52">
        <f t="shared" si="13"/>
        <v>0.74114101200000004</v>
      </c>
      <c r="AB17" s="52">
        <f t="shared" si="14"/>
        <v>0.28394101199999999</v>
      </c>
      <c r="AC17" s="52">
        <f t="shared" si="15"/>
        <v>0.28394101199999999</v>
      </c>
      <c r="AD17" s="52">
        <f t="shared" si="16"/>
        <v>62.104333333333329</v>
      </c>
      <c r="AE17" s="52">
        <f t="shared" si="17"/>
        <v>62.104333333333329</v>
      </c>
      <c r="AH17" s="14">
        <v>0.40000000000000002</v>
      </c>
      <c r="AI17" s="9">
        <v>10</v>
      </c>
      <c r="AJ17" s="77">
        <f t="shared" ref="AJ17:AJ26" si="18">AI17/SUM($AI$16:$AI$25)</f>
        <v>0.40000000000000002</v>
      </c>
      <c r="AK17" s="15">
        <v>0.59999999999999998</v>
      </c>
    </row>
    <row r="18">
      <c r="A18" s="46"/>
      <c r="B18" s="46">
        <v>1050</v>
      </c>
      <c r="C18" s="46">
        <v>2208186.3930000002</v>
      </c>
      <c r="D18" s="46">
        <v>6731094.8030000003</v>
      </c>
      <c r="E18" s="46">
        <v>149.47200000000001</v>
      </c>
      <c r="F18" s="46">
        <v>795</v>
      </c>
      <c r="G18" s="52">
        <v>42.2356539928712</v>
      </c>
      <c r="H18" s="46">
        <v>1.1100000000000001</v>
      </c>
      <c r="I18" s="46">
        <v>1.4383140000000001</v>
      </c>
      <c r="J18" s="46">
        <f t="shared" si="0"/>
        <v>0.32831399999999999</v>
      </c>
      <c r="K18" s="46">
        <f t="shared" si="1"/>
        <v>0.32831399999999999</v>
      </c>
      <c r="L18" s="51">
        <f t="shared" si="2"/>
        <v>12.873427337027142</v>
      </c>
      <c r="M18" s="51">
        <f t="shared" si="3"/>
        <v>0.33832800000000007</v>
      </c>
      <c r="N18" s="51">
        <f t="shared" si="4"/>
        <v>0.43839810720000005</v>
      </c>
      <c r="O18" s="51">
        <f t="shared" si="5"/>
        <v>0.10007010720000001</v>
      </c>
      <c r="P18" s="51">
        <f t="shared" si="6"/>
        <v>0.10007010720000001</v>
      </c>
      <c r="Q18" s="52">
        <f t="shared" si="7"/>
        <v>29.577837837837837</v>
      </c>
      <c r="R18" s="52">
        <f t="shared" si="8"/>
        <v>29.577837837837837</v>
      </c>
      <c r="S18" s="46"/>
      <c r="T18" s="52">
        <v>42.2356539928712</v>
      </c>
      <c r="U18" s="52">
        <v>0.84999999999999998</v>
      </c>
      <c r="V18" s="52">
        <v>1.3565590000000001</v>
      </c>
      <c r="W18" s="52">
        <f t="shared" si="9"/>
        <v>0.50655900000000009</v>
      </c>
      <c r="X18" s="52">
        <f t="shared" si="10"/>
        <v>0.50655900000000009</v>
      </c>
      <c r="Y18" s="52">
        <f t="shared" si="11"/>
        <v>12.873427337027142</v>
      </c>
      <c r="Z18" s="52">
        <f t="shared" si="12"/>
        <v>0.25908000000000003</v>
      </c>
      <c r="AA18" s="52">
        <f t="shared" si="13"/>
        <v>0.41347918320000004</v>
      </c>
      <c r="AB18" s="52">
        <f t="shared" si="14"/>
        <v>0.15439918320000004</v>
      </c>
      <c r="AC18" s="52">
        <f t="shared" si="15"/>
        <v>0.15439918320000004</v>
      </c>
      <c r="AD18" s="52">
        <f t="shared" si="16"/>
        <v>59.59517647058825</v>
      </c>
      <c r="AE18" s="52">
        <f t="shared" si="17"/>
        <v>59.59517647058825</v>
      </c>
      <c r="AH18" s="14">
        <v>0.59999999999999998</v>
      </c>
      <c r="AI18" s="9">
        <v>4</v>
      </c>
      <c r="AJ18" s="77">
        <f t="shared" si="18"/>
        <v>0.16</v>
      </c>
      <c r="AK18" s="15">
        <v>0.76000000000000001</v>
      </c>
    </row>
    <row r="19">
      <c r="A19" s="46"/>
      <c r="B19" s="46">
        <v>1095</v>
      </c>
      <c r="C19" s="46">
        <v>2202319.3999999999</v>
      </c>
      <c r="D19" s="46">
        <v>6719026.1859999998</v>
      </c>
      <c r="E19" s="46">
        <v>108.361</v>
      </c>
      <c r="F19" s="46">
        <v>539</v>
      </c>
      <c r="G19" s="46">
        <v>112.60778062660502</v>
      </c>
      <c r="H19" s="46">
        <v>0.83999999999999997</v>
      </c>
      <c r="I19" s="46">
        <v>1.6053550000000001</v>
      </c>
      <c r="J19" s="46">
        <f t="shared" si="0"/>
        <v>0.76535500000000012</v>
      </c>
      <c r="K19" s="46">
        <f t="shared" si="1"/>
        <v>0.76535500000000012</v>
      </c>
      <c r="L19" s="51">
        <f t="shared" si="2"/>
        <v>34.322851534989212</v>
      </c>
      <c r="M19" s="51">
        <f t="shared" si="3"/>
        <v>0.25603199999999998</v>
      </c>
      <c r="N19" s="51">
        <f t="shared" si="4"/>
        <v>0.48931220400000003</v>
      </c>
      <c r="O19" s="51">
        <f t="shared" si="5"/>
        <v>0.23328020400000005</v>
      </c>
      <c r="P19" s="51">
        <f t="shared" si="6"/>
        <v>0.23328020400000005</v>
      </c>
      <c r="Q19" s="52">
        <f t="shared" si="7"/>
        <v>91.113690476190499</v>
      </c>
      <c r="R19" s="52">
        <f t="shared" si="8"/>
        <v>91.113690476190499</v>
      </c>
      <c r="S19" s="46"/>
      <c r="T19" s="46">
        <v>112.60778062660502</v>
      </c>
      <c r="U19" s="52">
        <v>0.59999999999999998</v>
      </c>
      <c r="V19" s="52">
        <v>0.26227499999999998</v>
      </c>
      <c r="W19" s="52">
        <f t="shared" si="9"/>
        <v>-0.337725</v>
      </c>
      <c r="X19" s="52">
        <f t="shared" si="10"/>
        <v>0.337725</v>
      </c>
      <c r="Y19" s="52">
        <f t="shared" si="11"/>
        <v>34.322851534989212</v>
      </c>
      <c r="Z19" s="52">
        <f t="shared" si="12"/>
        <v>0.18288000000000001</v>
      </c>
      <c r="AA19" s="52">
        <f t="shared" si="13"/>
        <v>0.079941419999999999</v>
      </c>
      <c r="AB19" s="52">
        <f t="shared" si="14"/>
        <v>-0.10293858</v>
      </c>
      <c r="AC19" s="52">
        <f t="shared" si="15"/>
        <v>0.10293858</v>
      </c>
      <c r="AD19" s="52">
        <f t="shared" si="16"/>
        <v>-56.287500000000001</v>
      </c>
      <c r="AE19" s="52">
        <f t="shared" si="17"/>
        <v>56.287500000000001</v>
      </c>
      <c r="AH19" s="14">
        <v>0.80000000000000004</v>
      </c>
      <c r="AI19" s="9">
        <v>3</v>
      </c>
      <c r="AJ19" s="77">
        <f t="shared" si="18"/>
        <v>0.12</v>
      </c>
      <c r="AK19" s="15">
        <v>0.88</v>
      </c>
    </row>
    <row r="20">
      <c r="A20" s="46"/>
      <c r="B20" s="46">
        <v>1110</v>
      </c>
      <c r="C20" s="46">
        <v>2201928.0129999998</v>
      </c>
      <c r="D20" s="46">
        <v>6718323.324</v>
      </c>
      <c r="E20" s="46">
        <v>106.217</v>
      </c>
      <c r="F20" s="46">
        <v>539</v>
      </c>
      <c r="G20" s="46">
        <v>164.98982857594643</v>
      </c>
      <c r="H20" s="46">
        <v>1.28</v>
      </c>
      <c r="I20" s="46">
        <v>1.362142</v>
      </c>
      <c r="J20" s="46">
        <f t="shared" si="0"/>
        <v>0.082141999999999937</v>
      </c>
      <c r="K20" s="46">
        <f t="shared" si="1"/>
        <v>0.082141999999999937</v>
      </c>
      <c r="L20" s="51">
        <f t="shared" si="2"/>
        <v>50.288899749948477</v>
      </c>
      <c r="M20" s="51">
        <f t="shared" si="3"/>
        <v>0.39014400000000005</v>
      </c>
      <c r="N20" s="51">
        <f t="shared" si="4"/>
        <v>0.4151808816</v>
      </c>
      <c r="O20" s="51">
        <f t="shared" si="5"/>
        <v>0.025036881599999981</v>
      </c>
      <c r="P20" s="51">
        <f t="shared" si="6"/>
        <v>0.025036881599999981</v>
      </c>
      <c r="Q20" s="52">
        <f t="shared" si="7"/>
        <v>6.4173437499999952</v>
      </c>
      <c r="R20" s="52">
        <f t="shared" si="8"/>
        <v>6.4173437499999952</v>
      </c>
      <c r="S20" s="46"/>
      <c r="T20" s="46">
        <v>164.98982857594643</v>
      </c>
      <c r="U20" s="52">
        <v>2.1653280000000001</v>
      </c>
      <c r="V20" s="52">
        <v>3.3493889999999999</v>
      </c>
      <c r="W20" s="52">
        <f t="shared" si="9"/>
        <v>1.1840609999999998</v>
      </c>
      <c r="X20" s="52">
        <f t="shared" si="10"/>
        <v>1.1840609999999998</v>
      </c>
      <c r="Y20" s="52">
        <f t="shared" si="11"/>
        <v>50.288899749948477</v>
      </c>
      <c r="Z20" s="52">
        <f t="shared" si="12"/>
        <v>0.65999197440000013</v>
      </c>
      <c r="AA20" s="52">
        <f t="shared" si="13"/>
        <v>1.0208937672</v>
      </c>
      <c r="AB20" s="52">
        <f t="shared" si="14"/>
        <v>0.36090179279999995</v>
      </c>
      <c r="AC20" s="52">
        <f t="shared" si="15"/>
        <v>0.36090179279999995</v>
      </c>
      <c r="AD20" s="52">
        <f t="shared" si="16"/>
        <v>54.682754760479696</v>
      </c>
      <c r="AE20" s="52">
        <f t="shared" si="17"/>
        <v>54.682754760479696</v>
      </c>
      <c r="AH20" s="14">
        <v>1</v>
      </c>
      <c r="AI20" s="9">
        <v>2</v>
      </c>
      <c r="AJ20" s="77">
        <f t="shared" si="18"/>
        <v>0.080000000000000002</v>
      </c>
      <c r="AK20" s="15">
        <v>0.95999999999999996</v>
      </c>
    </row>
    <row r="21">
      <c r="A21" s="75" t="s">
        <v>53</v>
      </c>
      <c r="B21" s="72">
        <v>1069</v>
      </c>
      <c r="C21" s="72">
        <v>2207852.96</v>
      </c>
      <c r="D21" s="72">
        <v>6730531.3329999996</v>
      </c>
      <c r="E21" s="72">
        <v>148.08099999999999</v>
      </c>
      <c r="F21" s="72">
        <v>795</v>
      </c>
      <c r="G21" s="74">
        <v>16.850240437171678</v>
      </c>
      <c r="H21" s="72">
        <v>1.0800000000000001</v>
      </c>
      <c r="I21" s="72">
        <v>1.0883370000000001</v>
      </c>
      <c r="J21" s="72">
        <f t="shared" si="0"/>
        <v>0.0083370000000000388</v>
      </c>
      <c r="K21" s="72">
        <f t="shared" si="1"/>
        <v>0.0083370000000000388</v>
      </c>
      <c r="L21" s="73">
        <f t="shared" si="2"/>
        <v>5.1359532852499274</v>
      </c>
      <c r="M21" s="73">
        <f t="shared" si="3"/>
        <v>0.32918400000000003</v>
      </c>
      <c r="N21" s="73">
        <f t="shared" si="4"/>
        <v>0.33172511760000006</v>
      </c>
      <c r="O21" s="73">
        <f t="shared" si="5"/>
        <v>0.0025411176000000118</v>
      </c>
      <c r="P21" s="73">
        <f t="shared" si="6"/>
        <v>0.0025411176000000118</v>
      </c>
      <c r="Q21" s="74">
        <f t="shared" si="7"/>
        <v>0.77194444444444799</v>
      </c>
      <c r="R21" s="74">
        <f t="shared" si="8"/>
        <v>0.77194444444444799</v>
      </c>
      <c r="S21" s="72"/>
      <c r="T21" s="74">
        <v>16.850240437171678</v>
      </c>
      <c r="U21" s="74">
        <v>0.95143199999999994</v>
      </c>
      <c r="V21" s="74">
        <v>0.43138300000000002</v>
      </c>
      <c r="W21" s="74">
        <f t="shared" si="9"/>
        <v>-0.52004899999999998</v>
      </c>
      <c r="X21" s="74">
        <f t="shared" si="10"/>
        <v>0.52004899999999998</v>
      </c>
      <c r="Y21" s="74">
        <f t="shared" si="11"/>
        <v>5.1359532852499274</v>
      </c>
      <c r="Z21" s="74">
        <f t="shared" si="12"/>
        <v>0.28999647359999997</v>
      </c>
      <c r="AA21" s="74">
        <f t="shared" si="13"/>
        <v>0.13148553840000002</v>
      </c>
      <c r="AB21" s="74">
        <f t="shared" si="14"/>
        <v>-0.15851093520000001</v>
      </c>
      <c r="AC21" s="74">
        <f t="shared" si="15"/>
        <v>0.15851093520000001</v>
      </c>
      <c r="AD21" s="74">
        <f t="shared" si="16"/>
        <v>-54.659607833245047</v>
      </c>
      <c r="AE21" s="74">
        <f t="shared" si="17"/>
        <v>54.659607833245047</v>
      </c>
      <c r="AH21" s="14">
        <v>1.2</v>
      </c>
      <c r="AI21" s="9">
        <v>0</v>
      </c>
      <c r="AJ21" s="77">
        <f t="shared" si="18"/>
        <v>0</v>
      </c>
      <c r="AK21" s="15">
        <v>0.95999999999999996</v>
      </c>
    </row>
    <row r="22">
      <c r="A22" s="75" t="s">
        <v>55</v>
      </c>
      <c r="B22" s="72">
        <v>1177</v>
      </c>
      <c r="C22" s="72">
        <v>2206869.8289999999</v>
      </c>
      <c r="D22" s="72">
        <v>6750293.7620000001</v>
      </c>
      <c r="E22" s="72">
        <v>196.22999999999999</v>
      </c>
      <c r="F22" s="72">
        <v>797</v>
      </c>
      <c r="G22" s="74">
        <v>22.901811969431176</v>
      </c>
      <c r="H22" s="72">
        <v>1.71</v>
      </c>
      <c r="I22" s="72">
        <v>1.636225</v>
      </c>
      <c r="J22" s="72">
        <f t="shared" si="0"/>
        <v>-0.073774999999999924</v>
      </c>
      <c r="K22" s="72">
        <f t="shared" si="1"/>
        <v>0.073774999999999924</v>
      </c>
      <c r="L22" s="73">
        <f t="shared" si="2"/>
        <v>6.9804722882826225</v>
      </c>
      <c r="M22" s="73">
        <f t="shared" si="3"/>
        <v>0.521208</v>
      </c>
      <c r="N22" s="73">
        <f t="shared" si="4"/>
        <v>0.49872138000000005</v>
      </c>
      <c r="O22" s="73">
        <f t="shared" si="5"/>
        <v>-0.022486619999999978</v>
      </c>
      <c r="P22" s="73">
        <f t="shared" si="6"/>
        <v>0.022486619999999978</v>
      </c>
      <c r="Q22" s="74">
        <f t="shared" si="7"/>
        <v>-4.3143274853801126</v>
      </c>
      <c r="R22" s="74">
        <f t="shared" si="8"/>
        <v>4.3143274853801126</v>
      </c>
      <c r="S22" s="72"/>
      <c r="T22" s="74">
        <v>22.901811969431176</v>
      </c>
      <c r="U22" s="74">
        <v>1.2795120000000002</v>
      </c>
      <c r="V22" s="74">
        <v>0.58553999999999995</v>
      </c>
      <c r="W22" s="74">
        <f t="shared" si="9"/>
        <v>-0.69397200000000026</v>
      </c>
      <c r="X22" s="74">
        <f t="shared" si="10"/>
        <v>0.69397200000000026</v>
      </c>
      <c r="Y22" s="74">
        <f t="shared" si="11"/>
        <v>6.9804722882826225</v>
      </c>
      <c r="Z22" s="74">
        <f t="shared" si="12"/>
        <v>0.38999525760000009</v>
      </c>
      <c r="AA22" s="74">
        <f t="shared" si="13"/>
        <v>0.17847259199999999</v>
      </c>
      <c r="AB22" s="74">
        <f t="shared" si="14"/>
        <v>-0.21152266560000008</v>
      </c>
      <c r="AC22" s="74">
        <f t="shared" si="15"/>
        <v>0.21152266560000008</v>
      </c>
      <c r="AD22" s="74">
        <f t="shared" si="16"/>
        <v>-54.237240447920783</v>
      </c>
      <c r="AE22" s="74">
        <f t="shared" si="17"/>
        <v>54.237240447920783</v>
      </c>
      <c r="AH22" s="14">
        <v>1.3999999999999999</v>
      </c>
      <c r="AI22" s="9">
        <v>1</v>
      </c>
      <c r="AJ22" s="77">
        <f t="shared" si="18"/>
        <v>0.040000000000000001</v>
      </c>
      <c r="AK22" s="15">
        <v>1</v>
      </c>
    </row>
    <row r="23">
      <c r="A23" s="46"/>
      <c r="B23" s="46">
        <v>1036</v>
      </c>
      <c r="C23" s="46">
        <v>2204821.3679999998</v>
      </c>
      <c r="D23" s="46">
        <v>6722577.0559999999</v>
      </c>
      <c r="E23" s="46">
        <v>131.44399999999999</v>
      </c>
      <c r="F23" s="46">
        <v>795</v>
      </c>
      <c r="G23" s="52">
        <v>29.801958671372248</v>
      </c>
      <c r="H23" s="46">
        <v>1.8200000000000001</v>
      </c>
      <c r="I23" s="46">
        <v>3.1696580000000001</v>
      </c>
      <c r="J23" s="46">
        <f t="shared" si="0"/>
        <v>1.349658</v>
      </c>
      <c r="K23" s="46">
        <f t="shared" si="1"/>
        <v>1.349658</v>
      </c>
      <c r="L23" s="51">
        <f t="shared" si="2"/>
        <v>9.0836370030342621</v>
      </c>
      <c r="M23" s="51">
        <f t="shared" si="3"/>
        <v>0.55473600000000001</v>
      </c>
      <c r="N23" s="51">
        <f t="shared" si="4"/>
        <v>0.96611175840000008</v>
      </c>
      <c r="O23" s="51">
        <f t="shared" si="5"/>
        <v>0.41137575840000001</v>
      </c>
      <c r="P23" s="51">
        <f t="shared" si="6"/>
        <v>0.41137575840000001</v>
      </c>
      <c r="Q23" s="52">
        <f t="shared" si="7"/>
        <v>74.157032967032961</v>
      </c>
      <c r="R23" s="52">
        <f t="shared" si="8"/>
        <v>74.157032967032961</v>
      </c>
      <c r="S23" s="46"/>
      <c r="T23" s="52">
        <v>29.801958671372248</v>
      </c>
      <c r="U23" s="52">
        <v>1.05</v>
      </c>
      <c r="V23" s="52">
        <v>1.599804</v>
      </c>
      <c r="W23" s="52">
        <f t="shared" si="9"/>
        <v>0.54980399999999996</v>
      </c>
      <c r="X23" s="52">
        <f t="shared" si="10"/>
        <v>0.54980399999999996</v>
      </c>
      <c r="Y23" s="52">
        <f t="shared" si="11"/>
        <v>9.0836370030342621</v>
      </c>
      <c r="Z23" s="52">
        <f t="shared" si="12"/>
        <v>0.32004000000000005</v>
      </c>
      <c r="AA23" s="52">
        <f t="shared" si="13"/>
        <v>0.48762025920000002</v>
      </c>
      <c r="AB23" s="52">
        <f t="shared" si="14"/>
        <v>0.1675802592</v>
      </c>
      <c r="AC23" s="52">
        <f t="shared" si="15"/>
        <v>0.1675802592</v>
      </c>
      <c r="AD23" s="52">
        <f t="shared" si="16"/>
        <v>52.362285714285711</v>
      </c>
      <c r="AE23" s="52">
        <f t="shared" si="17"/>
        <v>52.362285714285711</v>
      </c>
      <c r="AH23" s="14">
        <v>1.6000000000000001</v>
      </c>
      <c r="AI23" s="9">
        <v>0</v>
      </c>
      <c r="AJ23" s="77">
        <f t="shared" si="18"/>
        <v>0</v>
      </c>
      <c r="AK23" s="15">
        <v>1</v>
      </c>
    </row>
    <row r="24">
      <c r="A24" s="46"/>
      <c r="B24" s="46">
        <v>1166</v>
      </c>
      <c r="C24" s="46">
        <v>2194310.1430000002</v>
      </c>
      <c r="D24" s="46">
        <v>6703229.3399999999</v>
      </c>
      <c r="E24" s="46">
        <v>74.168999999999997</v>
      </c>
      <c r="F24" s="46">
        <v>539</v>
      </c>
      <c r="G24" s="46">
        <v>12.416829901583949</v>
      </c>
      <c r="H24" s="46">
        <v>2.3100000000000001</v>
      </c>
      <c r="I24" s="46">
        <v>2.6581510000000002</v>
      </c>
      <c r="J24" s="46">
        <f t="shared" si="0"/>
        <v>0.3481510000000001</v>
      </c>
      <c r="K24" s="46">
        <f t="shared" si="1"/>
        <v>0.3481510000000001</v>
      </c>
      <c r="L24" s="51">
        <f t="shared" si="2"/>
        <v>3.7846497540027877</v>
      </c>
      <c r="M24" s="51">
        <f t="shared" si="3"/>
        <v>0.70408800000000005</v>
      </c>
      <c r="N24" s="51">
        <f t="shared" si="4"/>
        <v>0.8102044248000001</v>
      </c>
      <c r="O24" s="51">
        <f t="shared" si="5"/>
        <v>0.10611642480000004</v>
      </c>
      <c r="P24" s="51">
        <f t="shared" si="6"/>
        <v>0.10611642480000004</v>
      </c>
      <c r="Q24" s="52">
        <f t="shared" si="7"/>
        <v>15.071471861471865</v>
      </c>
      <c r="R24" s="52">
        <f t="shared" si="8"/>
        <v>15.071471861471865</v>
      </c>
      <c r="S24" s="46"/>
      <c r="T24" s="46">
        <v>12.416829901583949</v>
      </c>
      <c r="U24" s="52">
        <v>0.80000000000000004</v>
      </c>
      <c r="V24" s="52">
        <v>1.2110209999999999</v>
      </c>
      <c r="W24" s="52">
        <f t="shared" si="9"/>
        <v>0.41102099999999986</v>
      </c>
      <c r="X24" s="52">
        <f t="shared" si="10"/>
        <v>0.41102099999999986</v>
      </c>
      <c r="Y24" s="52">
        <f t="shared" si="11"/>
        <v>3.7846497540027877</v>
      </c>
      <c r="Z24" s="52">
        <f t="shared" si="12"/>
        <v>0.24384000000000003</v>
      </c>
      <c r="AA24" s="52">
        <f t="shared" si="13"/>
        <v>0.36911920079999999</v>
      </c>
      <c r="AB24" s="52">
        <f t="shared" si="14"/>
        <v>0.12527920079999996</v>
      </c>
      <c r="AC24" s="52">
        <f t="shared" si="15"/>
        <v>0.12527920079999996</v>
      </c>
      <c r="AD24" s="52">
        <f t="shared" si="16"/>
        <v>51.377624999999981</v>
      </c>
      <c r="AE24" s="52">
        <f t="shared" si="17"/>
        <v>51.377624999999981</v>
      </c>
      <c r="AH24" s="14">
        <v>1.8</v>
      </c>
      <c r="AI24" s="9">
        <v>0</v>
      </c>
      <c r="AJ24" s="77">
        <f t="shared" si="18"/>
        <v>0</v>
      </c>
      <c r="AK24" s="15">
        <v>1</v>
      </c>
    </row>
    <row r="25">
      <c r="A25" s="75" t="s">
        <v>51</v>
      </c>
      <c r="B25" s="72">
        <v>1063</v>
      </c>
      <c r="C25" s="72">
        <v>2208512.145</v>
      </c>
      <c r="D25" s="72">
        <v>6732150.0889999997</v>
      </c>
      <c r="E25" s="72">
        <v>150.34200000000001</v>
      </c>
      <c r="F25" s="72">
        <v>795</v>
      </c>
      <c r="G25" s="74">
        <v>25.408594058643857</v>
      </c>
      <c r="H25" s="72">
        <v>1.76</v>
      </c>
      <c r="I25" s="72">
        <v>0.60274799999999995</v>
      </c>
      <c r="J25" s="72">
        <f t="shared" si="0"/>
        <v>-1.1572520000000002</v>
      </c>
      <c r="K25" s="72">
        <f t="shared" si="1"/>
        <v>1.1572520000000002</v>
      </c>
      <c r="L25" s="73">
        <f t="shared" si="2"/>
        <v>7.7445394690746481</v>
      </c>
      <c r="M25" s="73">
        <f t="shared" si="3"/>
        <v>0.53644800000000004</v>
      </c>
      <c r="N25" s="73">
        <f t="shared" si="4"/>
        <v>0.18371759039999999</v>
      </c>
      <c r="O25" s="73">
        <f t="shared" si="5"/>
        <v>-0.35273040960000007</v>
      </c>
      <c r="P25" s="73">
        <f t="shared" si="6"/>
        <v>0.35273040960000007</v>
      </c>
      <c r="Q25" s="74">
        <f t="shared" si="7"/>
        <v>-65.752954545454557</v>
      </c>
      <c r="R25" s="74">
        <f t="shared" si="8"/>
        <v>65.752954545454557</v>
      </c>
      <c r="S25" s="72"/>
      <c r="T25" s="74">
        <v>25.408594058643857</v>
      </c>
      <c r="U25" s="74">
        <v>1.7</v>
      </c>
      <c r="V25" s="74">
        <v>0.82664499999999996</v>
      </c>
      <c r="W25" s="74">
        <f t="shared" si="9"/>
        <v>-0.87335499999999999</v>
      </c>
      <c r="X25" s="74">
        <f t="shared" si="10"/>
        <v>0.87335499999999999</v>
      </c>
      <c r="Y25" s="74">
        <f t="shared" si="11"/>
        <v>7.7445394690746481</v>
      </c>
      <c r="Z25" s="74">
        <f t="shared" si="12"/>
        <v>0.51816000000000006</v>
      </c>
      <c r="AA25" s="74">
        <f t="shared" si="13"/>
        <v>0.251961396</v>
      </c>
      <c r="AB25" s="74">
        <f t="shared" si="14"/>
        <v>-0.26619860400000001</v>
      </c>
      <c r="AC25" s="74">
        <f t="shared" si="15"/>
        <v>0.26619860400000001</v>
      </c>
      <c r="AD25" s="74">
        <f t="shared" si="16"/>
        <v>-51.373823529411766</v>
      </c>
      <c r="AE25" s="74">
        <f t="shared" si="17"/>
        <v>51.373823529411766</v>
      </c>
      <c r="AH25" s="14">
        <v>2</v>
      </c>
      <c r="AI25" s="9">
        <v>0</v>
      </c>
      <c r="AJ25" s="77">
        <f t="shared" si="18"/>
        <v>0</v>
      </c>
      <c r="AK25" s="15">
        <v>1</v>
      </c>
    </row>
    <row r="26" ht="15.75">
      <c r="A26" s="46"/>
      <c r="B26" s="46">
        <v>1178</v>
      </c>
      <c r="C26" s="46">
        <v>2206883.4980000001</v>
      </c>
      <c r="D26" s="46">
        <v>6750294.4309999999</v>
      </c>
      <c r="E26" s="46">
        <v>196.245</v>
      </c>
      <c r="F26" s="46">
        <v>797</v>
      </c>
      <c r="G26" s="52">
        <v>36.587173565161606</v>
      </c>
      <c r="H26" s="46">
        <v>2.25</v>
      </c>
      <c r="I26" s="46">
        <v>2.3045789999999999</v>
      </c>
      <c r="J26" s="46">
        <f t="shared" si="0"/>
        <v>0.054578999999999933</v>
      </c>
      <c r="K26" s="46">
        <f t="shared" si="1"/>
        <v>0.054578999999999933</v>
      </c>
      <c r="L26" s="51">
        <f t="shared" si="2"/>
        <v>11.151770502661257</v>
      </c>
      <c r="M26" s="51">
        <f t="shared" si="3"/>
        <v>0.68580000000000008</v>
      </c>
      <c r="N26" s="51">
        <f t="shared" si="4"/>
        <v>0.70243567920000005</v>
      </c>
      <c r="O26" s="51">
        <f t="shared" si="5"/>
        <v>0.016635679199999979</v>
      </c>
      <c r="P26" s="51">
        <f t="shared" si="6"/>
        <v>0.016635679199999979</v>
      </c>
      <c r="Q26" s="52">
        <f t="shared" si="7"/>
        <v>2.4257333333333304</v>
      </c>
      <c r="R26" s="52">
        <f t="shared" si="8"/>
        <v>2.4257333333333304</v>
      </c>
      <c r="S26" s="46"/>
      <c r="T26" s="52">
        <v>36.587173565161606</v>
      </c>
      <c r="U26" s="52">
        <v>1</v>
      </c>
      <c r="V26" s="52">
        <v>1.508745</v>
      </c>
      <c r="W26" s="52">
        <f t="shared" si="9"/>
        <v>0.508745</v>
      </c>
      <c r="X26" s="52">
        <f t="shared" si="10"/>
        <v>0.508745</v>
      </c>
      <c r="Y26" s="52">
        <f t="shared" si="11"/>
        <v>11.151770502661257</v>
      </c>
      <c r="Z26" s="52">
        <f t="shared" si="12"/>
        <v>0.30480000000000002</v>
      </c>
      <c r="AA26" s="52">
        <f t="shared" si="13"/>
        <v>0.45986547600000005</v>
      </c>
      <c r="AB26" s="52">
        <f t="shared" si="14"/>
        <v>0.15506547600000001</v>
      </c>
      <c r="AC26" s="52">
        <f t="shared" si="15"/>
        <v>0.15506547600000001</v>
      </c>
      <c r="AD26" s="52">
        <f t="shared" si="16"/>
        <v>50.874499999999998</v>
      </c>
      <c r="AE26" s="52">
        <f t="shared" si="17"/>
        <v>50.874499999999998</v>
      </c>
      <c r="AH26" s="10" t="s">
        <v>83</v>
      </c>
      <c r="AI26" s="10">
        <v>0</v>
      </c>
      <c r="AJ26" s="77">
        <f t="shared" si="18"/>
        <v>0</v>
      </c>
      <c r="AK26" s="16">
        <v>1</v>
      </c>
    </row>
    <row r="27">
      <c r="A27" s="71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3"/>
      <c r="M27" s="73"/>
      <c r="N27" s="73"/>
      <c r="O27" s="73"/>
      <c r="P27" s="73"/>
      <c r="Q27" s="74"/>
      <c r="R27" s="74"/>
      <c r="S27" s="72"/>
      <c r="T27" s="72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</row>
    <row r="28">
      <c r="A28" s="46"/>
      <c r="B28" s="46"/>
      <c r="C28" s="46"/>
      <c r="D28" s="46"/>
      <c r="E28" s="46"/>
      <c r="F28" s="46"/>
      <c r="G28" s="52"/>
      <c r="H28" s="46"/>
      <c r="I28" s="46"/>
      <c r="J28" s="46"/>
      <c r="K28" s="46"/>
      <c r="L28" s="51"/>
      <c r="M28" s="51"/>
      <c r="N28" s="51"/>
      <c r="O28" s="51"/>
      <c r="P28" s="51"/>
      <c r="Q28" s="52"/>
      <c r="R28" s="52"/>
      <c r="S28" s="46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</row>
    <row r="29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51"/>
      <c r="M29" s="51"/>
      <c r="N29" s="51"/>
      <c r="O29" s="51"/>
      <c r="P29" s="51"/>
      <c r="Q29" s="52"/>
      <c r="R29" s="52"/>
      <c r="S29" s="46"/>
      <c r="T29" s="46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</row>
    <row r="30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51"/>
      <c r="M30" s="51"/>
      <c r="N30" s="51"/>
      <c r="O30" s="51"/>
      <c r="P30" s="51"/>
      <c r="Q30" s="52"/>
      <c r="R30" s="52"/>
      <c r="S30" s="46"/>
      <c r="T30" s="46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</row>
    <row r="31">
      <c r="A31" s="46"/>
      <c r="B31" s="46"/>
      <c r="C31" s="46"/>
      <c r="D31" s="46"/>
      <c r="E31" s="46"/>
      <c r="F31" s="46"/>
      <c r="G31" s="52"/>
      <c r="H31" s="46"/>
      <c r="I31" s="46"/>
      <c r="J31" s="46"/>
      <c r="K31" s="46"/>
      <c r="L31" s="51"/>
      <c r="M31" s="51"/>
      <c r="N31" s="51"/>
      <c r="O31" s="51"/>
      <c r="P31" s="51"/>
      <c r="Q31" s="52"/>
      <c r="R31" s="52"/>
      <c r="S31" s="46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</row>
    <row r="32">
      <c r="A32" s="46"/>
      <c r="B32" s="46"/>
      <c r="C32" s="46"/>
      <c r="D32" s="46"/>
      <c r="E32" s="46"/>
      <c r="F32" s="46"/>
      <c r="G32" s="52"/>
      <c r="H32" s="46"/>
      <c r="I32" s="46"/>
      <c r="J32" s="46"/>
      <c r="K32" s="46"/>
      <c r="L32" s="51"/>
      <c r="M32" s="51"/>
      <c r="N32" s="51"/>
      <c r="O32" s="51"/>
      <c r="P32" s="51"/>
      <c r="Q32" s="52"/>
      <c r="R32" s="52"/>
      <c r="S32" s="46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</row>
    <row r="33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51"/>
      <c r="M33" s="51"/>
      <c r="N33" s="51"/>
      <c r="O33" s="51"/>
      <c r="P33" s="51"/>
      <c r="Q33" s="52"/>
      <c r="R33" s="52"/>
      <c r="S33" s="46"/>
      <c r="T33" s="46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</row>
    <row r="34">
      <c r="A34" s="46"/>
      <c r="B34" s="46"/>
      <c r="C34" s="46"/>
      <c r="D34" s="46"/>
      <c r="E34" s="46"/>
      <c r="F34" s="46"/>
      <c r="G34" s="52"/>
      <c r="H34" s="46"/>
      <c r="I34" s="46"/>
      <c r="J34" s="46"/>
      <c r="K34" s="46"/>
      <c r="L34" s="51"/>
      <c r="M34" s="51"/>
      <c r="N34" s="51"/>
      <c r="O34" s="51"/>
      <c r="P34" s="51"/>
      <c r="Q34" s="52"/>
      <c r="R34" s="52"/>
      <c r="S34" s="46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</row>
    <row r="35">
      <c r="A35" s="75"/>
      <c r="B35" s="72"/>
      <c r="C35" s="72"/>
      <c r="D35" s="72"/>
      <c r="E35" s="72"/>
      <c r="F35" s="72"/>
      <c r="G35" s="74"/>
      <c r="H35" s="72"/>
      <c r="I35" s="72"/>
      <c r="J35" s="72"/>
      <c r="K35" s="72"/>
      <c r="L35" s="73"/>
      <c r="M35" s="73"/>
      <c r="N35" s="73"/>
      <c r="O35" s="73"/>
      <c r="P35" s="73"/>
      <c r="Q35" s="74"/>
      <c r="R35" s="74"/>
      <c r="S35" s="72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</row>
    <row r="36">
      <c r="A36" s="46"/>
      <c r="B36" s="46"/>
      <c r="C36" s="46"/>
      <c r="D36" s="46"/>
      <c r="E36" s="46"/>
      <c r="F36" s="46"/>
      <c r="G36" s="52"/>
      <c r="H36" s="46"/>
      <c r="I36" s="46"/>
      <c r="J36" s="46"/>
      <c r="K36" s="46"/>
      <c r="L36" s="51"/>
      <c r="M36" s="51"/>
      <c r="N36" s="51"/>
      <c r="O36" s="51"/>
      <c r="P36" s="51"/>
      <c r="Q36" s="52"/>
      <c r="R36" s="52"/>
      <c r="S36" s="46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</row>
    <row r="37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51"/>
      <c r="M37" s="51"/>
      <c r="N37" s="51"/>
      <c r="O37" s="51"/>
      <c r="P37" s="51"/>
      <c r="Q37" s="52"/>
      <c r="R37" s="52"/>
      <c r="S37" s="46"/>
      <c r="T37" s="46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</row>
    <row r="38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51"/>
      <c r="M38" s="51"/>
      <c r="N38" s="51"/>
      <c r="O38" s="51"/>
      <c r="P38" s="51"/>
      <c r="Q38" s="52"/>
      <c r="R38" s="52"/>
      <c r="S38" s="46"/>
      <c r="T38" s="46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</row>
    <row r="39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51"/>
      <c r="M39" s="51"/>
      <c r="N39" s="51"/>
      <c r="O39" s="51"/>
      <c r="P39" s="51"/>
      <c r="Q39" s="52"/>
      <c r="R39" s="52"/>
      <c r="S39" s="46"/>
      <c r="T39" s="46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</row>
    <row r="40">
      <c r="A40" s="75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3"/>
      <c r="M40" s="73"/>
      <c r="N40" s="73"/>
      <c r="O40" s="73"/>
      <c r="P40" s="73"/>
      <c r="Q40" s="74"/>
      <c r="R40" s="74"/>
      <c r="S40" s="72"/>
      <c r="T40" s="72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</row>
    <row r="4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51"/>
      <c r="M41" s="51"/>
      <c r="N41" s="51"/>
      <c r="O41" s="51"/>
      <c r="P41" s="51"/>
      <c r="Q41" s="52"/>
      <c r="R41" s="52"/>
      <c r="S41" s="46"/>
      <c r="T41" s="46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</row>
    <row r="42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51"/>
      <c r="M42" s="51"/>
      <c r="N42" s="51"/>
      <c r="O42" s="51"/>
      <c r="P42" s="51"/>
      <c r="Q42" s="52"/>
      <c r="R42" s="52"/>
      <c r="S42" s="46"/>
      <c r="T42" s="46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</row>
    <row r="43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51"/>
      <c r="M43" s="51"/>
      <c r="N43" s="51"/>
      <c r="O43" s="51"/>
      <c r="P43" s="51"/>
      <c r="Q43" s="52"/>
      <c r="R43" s="52"/>
      <c r="S43" s="46"/>
      <c r="T43" s="46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</row>
    <row r="44">
      <c r="A44" s="46"/>
      <c r="B44" s="46"/>
      <c r="C44" s="46"/>
      <c r="D44" s="46"/>
      <c r="E44" s="46"/>
      <c r="F44" s="46"/>
      <c r="G44" s="52"/>
      <c r="H44" s="46"/>
      <c r="I44" s="46"/>
      <c r="J44" s="46"/>
      <c r="K44" s="46"/>
      <c r="L44" s="51"/>
      <c r="M44" s="51"/>
      <c r="N44" s="51"/>
      <c r="O44" s="51"/>
      <c r="P44" s="51"/>
      <c r="Q44" s="52"/>
      <c r="R44" s="52"/>
      <c r="S44" s="46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</row>
    <row r="45">
      <c r="A45" s="75"/>
      <c r="B45" s="72"/>
      <c r="C45" s="72"/>
      <c r="D45" s="72"/>
      <c r="E45" s="72"/>
      <c r="F45" s="72"/>
      <c r="G45" s="74"/>
      <c r="H45" s="72"/>
      <c r="I45" s="72"/>
      <c r="J45" s="72"/>
      <c r="K45" s="72"/>
      <c r="L45" s="73"/>
      <c r="M45" s="73"/>
      <c r="N45" s="73"/>
      <c r="O45" s="73"/>
      <c r="P45" s="73"/>
      <c r="Q45" s="74"/>
      <c r="R45" s="74"/>
      <c r="S45" s="72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</row>
    <row r="46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51"/>
      <c r="M46" s="51"/>
      <c r="N46" s="51"/>
      <c r="O46" s="51"/>
      <c r="P46" s="51"/>
      <c r="Q46" s="52"/>
      <c r="R46" s="52"/>
      <c r="S46" s="46"/>
      <c r="T46" s="46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</row>
    <row r="47">
      <c r="A47" s="46"/>
      <c r="B47" s="46"/>
      <c r="C47" s="46"/>
      <c r="D47" s="46"/>
      <c r="E47" s="46"/>
      <c r="F47" s="46"/>
      <c r="G47" s="52"/>
      <c r="H47" s="46"/>
      <c r="I47" s="46"/>
      <c r="J47" s="46"/>
      <c r="K47" s="46"/>
      <c r="L47" s="51"/>
      <c r="M47" s="51"/>
      <c r="N47" s="51"/>
      <c r="O47" s="51"/>
      <c r="P47" s="51"/>
      <c r="Q47" s="52"/>
      <c r="R47" s="52"/>
      <c r="S47" s="46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</row>
    <row r="48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51"/>
      <c r="M48" s="51"/>
      <c r="N48" s="51"/>
      <c r="O48" s="51"/>
      <c r="P48" s="51"/>
      <c r="Q48" s="52"/>
      <c r="R48" s="52"/>
      <c r="S48" s="46"/>
      <c r="T48" s="46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</row>
    <row r="49">
      <c r="A49" s="46"/>
      <c r="B49" s="46"/>
      <c r="C49" s="46"/>
      <c r="D49" s="46"/>
      <c r="E49" s="46"/>
      <c r="F49" s="46"/>
      <c r="G49" s="52"/>
      <c r="H49" s="46"/>
      <c r="I49" s="46"/>
      <c r="J49" s="46"/>
      <c r="K49" s="46"/>
      <c r="L49" s="51"/>
      <c r="M49" s="51"/>
      <c r="N49" s="51"/>
      <c r="O49" s="51"/>
      <c r="P49" s="51"/>
      <c r="Q49" s="52"/>
      <c r="R49" s="52"/>
      <c r="S49" s="46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</row>
    <row r="50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51"/>
      <c r="M50" s="51"/>
      <c r="N50" s="51"/>
      <c r="O50" s="51"/>
      <c r="P50" s="51"/>
      <c r="Q50" s="52"/>
      <c r="R50" s="52"/>
      <c r="S50" s="46"/>
      <c r="T50" s="46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</row>
    <row r="51">
      <c r="A51" s="46"/>
      <c r="B51" s="46"/>
      <c r="C51" s="46"/>
      <c r="D51" s="46"/>
      <c r="E51" s="46"/>
      <c r="F51" s="46"/>
      <c r="G51" s="52"/>
      <c r="H51" s="46"/>
      <c r="I51" s="46"/>
      <c r="J51" s="46"/>
      <c r="K51" s="46"/>
      <c r="L51" s="51"/>
      <c r="M51" s="51"/>
      <c r="N51" s="51"/>
      <c r="O51" s="51"/>
      <c r="P51" s="51"/>
      <c r="Q51" s="52"/>
      <c r="R51" s="52"/>
      <c r="S51" s="46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</row>
    <row r="52">
      <c r="A52" s="46"/>
      <c r="B52" s="46"/>
      <c r="C52" s="46"/>
      <c r="D52" s="46"/>
      <c r="E52" s="46"/>
      <c r="F52" s="46"/>
      <c r="G52" s="52"/>
      <c r="H52" s="46"/>
      <c r="I52" s="46"/>
      <c r="J52" s="46"/>
      <c r="K52" s="46"/>
      <c r="L52" s="51"/>
      <c r="M52" s="51"/>
      <c r="N52" s="51"/>
      <c r="O52" s="51"/>
      <c r="P52" s="51"/>
      <c r="Q52" s="52"/>
      <c r="R52" s="52"/>
      <c r="S52" s="46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</row>
    <row r="53">
      <c r="A53" s="46"/>
      <c r="B53" s="46"/>
      <c r="C53" s="46"/>
      <c r="D53" s="46"/>
      <c r="E53" s="46"/>
      <c r="F53" s="46"/>
      <c r="G53" s="52"/>
      <c r="H53" s="46"/>
      <c r="I53" s="46"/>
      <c r="J53" s="46"/>
      <c r="K53" s="46"/>
      <c r="L53" s="51"/>
      <c r="M53" s="51"/>
      <c r="N53" s="51"/>
      <c r="O53" s="51"/>
      <c r="P53" s="51"/>
      <c r="Q53" s="52"/>
      <c r="R53" s="52"/>
      <c r="S53" s="46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</row>
    <row r="54">
      <c r="A54" s="46"/>
      <c r="B54" s="46"/>
      <c r="C54" s="46"/>
      <c r="D54" s="46"/>
      <c r="E54" s="46"/>
      <c r="F54" s="46"/>
      <c r="G54" s="52"/>
      <c r="H54" s="46"/>
      <c r="I54" s="46"/>
      <c r="J54" s="46"/>
      <c r="K54" s="46"/>
      <c r="L54" s="51"/>
      <c r="M54" s="51"/>
      <c r="N54" s="51"/>
      <c r="O54" s="51"/>
      <c r="P54" s="51"/>
      <c r="Q54" s="52"/>
      <c r="R54" s="52"/>
      <c r="S54" s="46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</row>
    <row r="55">
      <c r="A55" s="46"/>
      <c r="B55" s="46"/>
      <c r="C55" s="46"/>
      <c r="D55" s="46"/>
      <c r="E55" s="46"/>
      <c r="F55" s="46"/>
      <c r="G55" s="52"/>
      <c r="H55" s="46"/>
      <c r="I55" s="46"/>
      <c r="J55" s="46"/>
      <c r="K55" s="46"/>
      <c r="L55" s="51"/>
      <c r="M55" s="51"/>
      <c r="N55" s="51"/>
      <c r="O55" s="51"/>
      <c r="P55" s="51"/>
      <c r="Q55" s="52"/>
      <c r="R55" s="52"/>
      <c r="S55" s="46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</row>
    <row r="56">
      <c r="A56" s="46"/>
      <c r="B56" s="46"/>
      <c r="C56" s="46"/>
      <c r="D56" s="46"/>
      <c r="E56" s="46"/>
      <c r="F56" s="46"/>
      <c r="G56" s="52"/>
      <c r="H56" s="46"/>
      <c r="I56" s="46"/>
      <c r="J56" s="46"/>
      <c r="K56" s="46"/>
      <c r="L56" s="51"/>
      <c r="M56" s="51"/>
      <c r="N56" s="51"/>
      <c r="O56" s="51"/>
      <c r="P56" s="51"/>
      <c r="Q56" s="52"/>
      <c r="R56" s="52"/>
      <c r="S56" s="46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</row>
    <row r="57">
      <c r="A57" s="46"/>
      <c r="B57" s="46"/>
      <c r="C57" s="46"/>
      <c r="D57" s="46"/>
      <c r="E57" s="46"/>
      <c r="F57" s="46"/>
      <c r="G57" s="52"/>
      <c r="H57" s="46"/>
      <c r="I57" s="46"/>
      <c r="J57" s="46"/>
      <c r="K57" s="46"/>
      <c r="L57" s="51"/>
      <c r="M57" s="51"/>
      <c r="N57" s="51"/>
      <c r="O57" s="51"/>
      <c r="P57" s="51"/>
      <c r="Q57" s="52"/>
      <c r="R57" s="52"/>
      <c r="S57" s="46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</row>
    <row r="58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51"/>
      <c r="M58" s="51"/>
      <c r="N58" s="51"/>
      <c r="O58" s="51"/>
      <c r="P58" s="51"/>
      <c r="Q58" s="52"/>
      <c r="R58" s="52"/>
      <c r="S58" s="46"/>
      <c r="T58" s="46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</row>
    <row r="59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51"/>
      <c r="M59" s="51"/>
      <c r="N59" s="51"/>
      <c r="O59" s="51"/>
      <c r="P59" s="51"/>
      <c r="Q59" s="52"/>
      <c r="R59" s="52"/>
      <c r="S59" s="46"/>
      <c r="T59" s="46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</row>
    <row r="60">
      <c r="A60" s="46"/>
      <c r="B60" s="46"/>
      <c r="C60" s="46"/>
      <c r="D60" s="46"/>
      <c r="E60" s="46"/>
      <c r="F60" s="46"/>
      <c r="G60" s="52"/>
      <c r="H60" s="46"/>
      <c r="I60" s="46"/>
      <c r="J60" s="46"/>
      <c r="K60" s="46"/>
      <c r="L60" s="51"/>
      <c r="M60" s="51"/>
      <c r="N60" s="51"/>
      <c r="O60" s="51"/>
      <c r="P60" s="51"/>
      <c r="Q60" s="52"/>
      <c r="R60" s="52"/>
      <c r="S60" s="46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</row>
    <row r="6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51"/>
      <c r="M61" s="51"/>
      <c r="N61" s="51"/>
      <c r="O61" s="51"/>
      <c r="P61" s="51"/>
      <c r="Q61" s="52"/>
      <c r="R61" s="52"/>
      <c r="S61" s="46"/>
      <c r="T61" s="46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</row>
    <row r="6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51"/>
      <c r="M62" s="51"/>
      <c r="N62" s="51"/>
      <c r="O62" s="51"/>
      <c r="P62" s="51"/>
      <c r="Q62" s="52"/>
      <c r="R62" s="52"/>
      <c r="S62" s="46"/>
      <c r="T62" s="46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</row>
    <row r="63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51"/>
      <c r="M63" s="51"/>
      <c r="N63" s="51"/>
      <c r="O63" s="51"/>
      <c r="P63" s="51"/>
      <c r="Q63" s="52"/>
      <c r="R63" s="52"/>
      <c r="S63" s="46"/>
      <c r="T63" s="46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</row>
    <row r="64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51"/>
      <c r="M64" s="51"/>
      <c r="N64" s="51"/>
      <c r="O64" s="51"/>
      <c r="P64" s="51"/>
      <c r="Q64" s="52"/>
      <c r="R64" s="52"/>
      <c r="S64" s="46"/>
      <c r="T64" s="46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</row>
    <row r="65">
      <c r="A65" s="46"/>
      <c r="B65" s="46"/>
      <c r="C65" s="46"/>
      <c r="D65" s="46"/>
      <c r="E65" s="46"/>
      <c r="F65" s="46"/>
      <c r="G65" s="52"/>
      <c r="H65" s="46"/>
      <c r="I65" s="46"/>
      <c r="J65" s="46"/>
      <c r="K65" s="46"/>
      <c r="L65" s="51"/>
      <c r="M65" s="51"/>
      <c r="N65" s="51"/>
      <c r="O65" s="51"/>
      <c r="P65" s="51"/>
      <c r="Q65" s="52"/>
      <c r="R65" s="52"/>
      <c r="S65" s="46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</row>
    <row r="66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51"/>
      <c r="M66" s="51"/>
      <c r="N66" s="51"/>
      <c r="O66" s="51"/>
      <c r="P66" s="51"/>
      <c r="Q66" s="52"/>
      <c r="R66" s="52"/>
      <c r="S66" s="46"/>
      <c r="T66" s="46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</row>
    <row r="67">
      <c r="A67" s="75"/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3"/>
      <c r="M67" s="73"/>
      <c r="N67" s="73"/>
      <c r="O67" s="73"/>
      <c r="P67" s="73"/>
      <c r="Q67" s="74"/>
      <c r="R67" s="74"/>
      <c r="S67" s="72"/>
      <c r="T67" s="72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</row>
    <row r="68">
      <c r="A68" s="46"/>
      <c r="B68" s="46"/>
      <c r="C68" s="46"/>
      <c r="D68" s="46"/>
      <c r="E68" s="46"/>
      <c r="F68" s="46"/>
      <c r="G68" s="52"/>
      <c r="H68" s="46"/>
      <c r="I68" s="46"/>
      <c r="J68" s="46"/>
      <c r="K68" s="46"/>
      <c r="L68" s="51"/>
      <c r="M68" s="51"/>
      <c r="N68" s="51"/>
      <c r="O68" s="51"/>
      <c r="P68" s="51"/>
      <c r="Q68" s="52"/>
      <c r="R68" s="52"/>
      <c r="S68" s="46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</row>
    <row r="69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51"/>
      <c r="M69" s="51"/>
      <c r="N69" s="51"/>
      <c r="O69" s="51"/>
      <c r="P69" s="51"/>
      <c r="Q69" s="52"/>
      <c r="R69" s="52"/>
      <c r="S69" s="46"/>
      <c r="T69" s="46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</row>
    <row r="70">
      <c r="A70" s="46"/>
      <c r="B70" s="46"/>
      <c r="C70" s="46"/>
      <c r="D70" s="46"/>
      <c r="E70" s="46"/>
      <c r="F70" s="46"/>
      <c r="G70" s="52"/>
      <c r="H70" s="46"/>
      <c r="I70" s="46"/>
      <c r="J70" s="46"/>
      <c r="K70" s="46"/>
      <c r="L70" s="51"/>
      <c r="M70" s="51"/>
      <c r="N70" s="51"/>
      <c r="O70" s="51"/>
      <c r="P70" s="51"/>
      <c r="Q70" s="52"/>
      <c r="R70" s="52"/>
      <c r="S70" s="46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</row>
    <row r="7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51"/>
      <c r="M71" s="51"/>
      <c r="N71" s="51"/>
      <c r="O71" s="51"/>
      <c r="P71" s="51"/>
      <c r="Q71" s="52"/>
      <c r="R71" s="52"/>
      <c r="S71" s="46"/>
      <c r="T71" s="46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</row>
    <row r="7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51"/>
      <c r="M72" s="51"/>
      <c r="N72" s="51"/>
      <c r="O72" s="51"/>
      <c r="P72" s="51"/>
      <c r="Q72" s="52"/>
      <c r="R72" s="52"/>
      <c r="S72" s="46"/>
      <c r="T72" s="46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</row>
    <row r="73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51"/>
      <c r="M73" s="51"/>
      <c r="N73" s="51"/>
      <c r="O73" s="51"/>
      <c r="P73" s="51"/>
      <c r="Q73" s="52"/>
      <c r="R73" s="52"/>
      <c r="S73" s="46"/>
      <c r="T73" s="46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</row>
    <row r="74">
      <c r="A74" s="46"/>
      <c r="B74" s="46"/>
      <c r="C74" s="46"/>
      <c r="D74" s="46"/>
      <c r="E74" s="46"/>
      <c r="F74" s="46"/>
      <c r="G74" s="52"/>
      <c r="H74" s="46"/>
      <c r="I74" s="46"/>
      <c r="J74" s="46"/>
      <c r="K74" s="46"/>
      <c r="L74" s="51"/>
      <c r="M74" s="51"/>
      <c r="N74" s="51"/>
      <c r="O74" s="51"/>
      <c r="P74" s="51"/>
      <c r="Q74" s="52"/>
      <c r="R74" s="52"/>
      <c r="S74" s="46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</row>
    <row r="75">
      <c r="A75" s="46"/>
      <c r="B75" s="46"/>
      <c r="C75" s="46"/>
      <c r="D75" s="46"/>
      <c r="E75" s="46"/>
      <c r="F75" s="46"/>
      <c r="G75" s="52"/>
      <c r="H75" s="46"/>
      <c r="I75" s="46"/>
      <c r="J75" s="46"/>
      <c r="K75" s="46"/>
      <c r="L75" s="51"/>
      <c r="M75" s="51"/>
      <c r="N75" s="51"/>
      <c r="O75" s="51"/>
      <c r="P75" s="51"/>
      <c r="Q75" s="52"/>
      <c r="R75" s="52"/>
      <c r="S75" s="46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</row>
    <row r="76">
      <c r="A76" s="46"/>
      <c r="B76" s="46"/>
      <c r="C76" s="46"/>
      <c r="D76" s="46"/>
      <c r="E76" s="46"/>
      <c r="F76" s="46"/>
      <c r="G76" s="52"/>
      <c r="H76" s="46"/>
      <c r="I76" s="46"/>
      <c r="J76" s="46"/>
      <c r="K76" s="46"/>
      <c r="L76" s="51"/>
      <c r="M76" s="51"/>
      <c r="N76" s="51"/>
      <c r="O76" s="51"/>
      <c r="P76" s="51"/>
      <c r="Q76" s="52"/>
      <c r="R76" s="52"/>
      <c r="S76" s="46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</row>
    <row r="77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51"/>
      <c r="M77" s="51"/>
      <c r="N77" s="51"/>
      <c r="O77" s="51"/>
      <c r="P77" s="51"/>
      <c r="Q77" s="52"/>
      <c r="R77" s="52"/>
      <c r="S77" s="46"/>
      <c r="T77" s="46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</row>
    <row r="78">
      <c r="A78" s="46"/>
      <c r="B78" s="46"/>
      <c r="C78" s="46"/>
      <c r="D78" s="46"/>
      <c r="E78" s="46"/>
      <c r="F78" s="46"/>
      <c r="G78" s="52"/>
      <c r="H78" s="46"/>
      <c r="I78" s="46"/>
      <c r="J78" s="46"/>
      <c r="K78" s="46"/>
      <c r="L78" s="51"/>
      <c r="M78" s="51"/>
      <c r="N78" s="51"/>
      <c r="O78" s="51"/>
      <c r="P78" s="51"/>
      <c r="Q78" s="52"/>
      <c r="R78" s="52"/>
      <c r="S78" s="46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</row>
    <row r="79">
      <c r="A79" s="46"/>
      <c r="B79" s="46"/>
      <c r="C79" s="46"/>
      <c r="D79" s="46"/>
      <c r="E79" s="46"/>
      <c r="F79" s="46"/>
      <c r="G79" s="52"/>
      <c r="H79" s="46"/>
      <c r="I79" s="46"/>
      <c r="J79" s="46"/>
      <c r="K79" s="46"/>
      <c r="L79" s="51"/>
      <c r="M79" s="51"/>
      <c r="N79" s="51"/>
      <c r="O79" s="51"/>
      <c r="P79" s="51"/>
      <c r="Q79" s="52"/>
      <c r="R79" s="52"/>
      <c r="S79" s="46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</row>
    <row r="80">
      <c r="A80" s="46"/>
      <c r="B80" s="46"/>
      <c r="C80" s="46"/>
      <c r="D80" s="46"/>
      <c r="E80" s="46"/>
      <c r="F80" s="46"/>
      <c r="G80" s="52"/>
      <c r="H80" s="46"/>
      <c r="I80" s="46"/>
      <c r="J80" s="46"/>
      <c r="K80" s="46"/>
      <c r="L80" s="51"/>
      <c r="M80" s="51"/>
      <c r="N80" s="51"/>
      <c r="O80" s="51"/>
      <c r="P80" s="51"/>
      <c r="Q80" s="52"/>
      <c r="R80" s="52"/>
      <c r="S80" s="46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</row>
    <row r="8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51"/>
      <c r="M81" s="51"/>
      <c r="N81" s="51"/>
      <c r="O81" s="51"/>
      <c r="P81" s="51"/>
      <c r="Q81" s="52"/>
      <c r="R81" s="52"/>
      <c r="S81" s="46"/>
      <c r="T81" s="46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</row>
    <row r="82">
      <c r="A82" s="46"/>
      <c r="B82" s="46"/>
      <c r="C82" s="46"/>
      <c r="D82" s="46"/>
      <c r="E82" s="46"/>
      <c r="F82" s="46"/>
      <c r="G82" s="52"/>
      <c r="H82" s="46"/>
      <c r="I82" s="46"/>
      <c r="J82" s="46"/>
      <c r="K82" s="46"/>
      <c r="L82" s="51"/>
      <c r="M82" s="51"/>
      <c r="N82" s="51"/>
      <c r="O82" s="51"/>
      <c r="P82" s="51"/>
      <c r="Q82" s="52"/>
      <c r="R82" s="52"/>
      <c r="S82" s="46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</row>
    <row r="83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51"/>
      <c r="M83" s="51"/>
      <c r="N83" s="51"/>
      <c r="O83" s="51"/>
      <c r="P83" s="51"/>
      <c r="Q83" s="52"/>
      <c r="R83" s="52"/>
      <c r="S83" s="46"/>
      <c r="T83" s="46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</row>
    <row r="84">
      <c r="A84" s="46"/>
      <c r="B84" s="46"/>
      <c r="C84" s="46"/>
      <c r="D84" s="46"/>
      <c r="E84" s="46"/>
      <c r="F84" s="46"/>
      <c r="G84" s="52"/>
      <c r="H84" s="46"/>
      <c r="I84" s="46"/>
      <c r="J84" s="46"/>
      <c r="K84" s="46"/>
      <c r="L84" s="51"/>
      <c r="M84" s="51"/>
      <c r="N84" s="51"/>
      <c r="O84" s="51"/>
      <c r="P84" s="51"/>
      <c r="Q84" s="52"/>
      <c r="R84" s="52"/>
      <c r="S84" s="46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</row>
    <row r="85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51"/>
      <c r="M85" s="51"/>
      <c r="N85" s="51"/>
      <c r="O85" s="51"/>
      <c r="P85" s="51"/>
      <c r="Q85" s="52"/>
      <c r="R85" s="52"/>
      <c r="S85" s="46"/>
      <c r="T85" s="46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</row>
    <row r="86">
      <c r="A86" s="46"/>
      <c r="B86" s="46"/>
      <c r="C86" s="46"/>
      <c r="D86" s="46"/>
      <c r="E86" s="46"/>
      <c r="F86" s="46"/>
      <c r="G86" s="52"/>
      <c r="H86" s="46"/>
      <c r="I86" s="46"/>
      <c r="J86" s="46"/>
      <c r="K86" s="46"/>
      <c r="L86" s="51"/>
      <c r="M86" s="51"/>
      <c r="N86" s="51"/>
      <c r="O86" s="51"/>
      <c r="P86" s="51"/>
      <c r="Q86" s="52"/>
      <c r="R86" s="52"/>
      <c r="S86" s="46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</row>
    <row r="87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51"/>
      <c r="M87" s="51"/>
      <c r="N87" s="51"/>
      <c r="O87" s="51"/>
      <c r="P87" s="51"/>
      <c r="Q87" s="52"/>
      <c r="R87" s="52"/>
      <c r="S87" s="46"/>
      <c r="T87" s="46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</row>
    <row r="88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51"/>
      <c r="M88" s="51"/>
      <c r="N88" s="51"/>
      <c r="O88" s="51"/>
      <c r="P88" s="51"/>
      <c r="Q88" s="52"/>
      <c r="R88" s="52"/>
      <c r="S88" s="46"/>
      <c r="T88" s="46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</row>
    <row r="89">
      <c r="A89" s="46"/>
      <c r="B89" s="46"/>
      <c r="C89" s="46"/>
      <c r="D89" s="46"/>
      <c r="E89" s="46"/>
      <c r="F89" s="46"/>
      <c r="G89" s="52"/>
      <c r="H89" s="46"/>
      <c r="I89" s="46"/>
      <c r="J89" s="46"/>
      <c r="K89" s="46"/>
      <c r="L89" s="51"/>
      <c r="M89" s="51"/>
      <c r="N89" s="51"/>
      <c r="O89" s="51"/>
      <c r="P89" s="51"/>
      <c r="Q89" s="52"/>
      <c r="R89" s="52"/>
      <c r="S89" s="46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</row>
    <row r="90">
      <c r="A90" s="46"/>
      <c r="B90" s="46"/>
      <c r="C90" s="46"/>
      <c r="D90" s="46"/>
      <c r="E90" s="46"/>
      <c r="F90" s="46"/>
      <c r="G90" s="52"/>
      <c r="H90" s="46"/>
      <c r="I90" s="46"/>
      <c r="J90" s="46"/>
      <c r="K90" s="46"/>
      <c r="L90" s="51"/>
      <c r="M90" s="51"/>
      <c r="N90" s="51"/>
      <c r="O90" s="51"/>
      <c r="P90" s="51"/>
      <c r="Q90" s="52"/>
      <c r="R90" s="52"/>
      <c r="S90" s="46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</row>
    <row r="91">
      <c r="A91" s="46"/>
      <c r="B91" s="46"/>
      <c r="C91" s="46"/>
      <c r="D91" s="46"/>
      <c r="E91" s="46"/>
      <c r="F91" s="46"/>
      <c r="G91" s="52"/>
      <c r="H91" s="46"/>
      <c r="I91" s="46"/>
      <c r="J91" s="46"/>
      <c r="K91" s="46"/>
      <c r="L91" s="51"/>
      <c r="M91" s="51"/>
      <c r="N91" s="51"/>
      <c r="O91" s="51"/>
      <c r="P91" s="51"/>
      <c r="Q91" s="52"/>
      <c r="R91" s="52"/>
      <c r="S91" s="46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</row>
    <row r="9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51"/>
      <c r="M92" s="51"/>
      <c r="N92" s="51"/>
      <c r="O92" s="51"/>
      <c r="P92" s="51"/>
      <c r="Q92" s="52"/>
      <c r="R92" s="52"/>
      <c r="S92" s="46"/>
      <c r="T92" s="46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</row>
    <row r="93">
      <c r="A93" s="46"/>
      <c r="B93" s="46"/>
      <c r="C93" s="46"/>
      <c r="D93" s="46"/>
      <c r="E93" s="46"/>
      <c r="F93" s="46"/>
      <c r="G93" s="52"/>
      <c r="H93" s="46"/>
      <c r="I93" s="46"/>
      <c r="J93" s="46"/>
      <c r="K93" s="46"/>
      <c r="L93" s="51"/>
      <c r="M93" s="51"/>
      <c r="N93" s="51"/>
      <c r="O93" s="51"/>
      <c r="P93" s="51"/>
      <c r="Q93" s="52"/>
      <c r="R93" s="52"/>
      <c r="S93" s="46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</row>
    <row r="94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51"/>
      <c r="M94" s="51"/>
      <c r="N94" s="51"/>
      <c r="O94" s="51"/>
      <c r="P94" s="51"/>
      <c r="Q94" s="52"/>
      <c r="R94" s="52"/>
      <c r="S94" s="46"/>
      <c r="T94" s="46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</row>
    <row r="95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51"/>
      <c r="M95" s="51"/>
      <c r="N95" s="51"/>
      <c r="O95" s="51"/>
      <c r="P95" s="51"/>
      <c r="Q95" s="52"/>
      <c r="R95" s="52"/>
      <c r="S95" s="46"/>
      <c r="T95" s="46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</row>
    <row r="96">
      <c r="A96" s="75"/>
      <c r="B96" s="72"/>
      <c r="C96" s="72"/>
      <c r="D96" s="72"/>
      <c r="E96" s="72"/>
      <c r="F96" s="72"/>
      <c r="G96" s="72"/>
      <c r="H96" s="72"/>
      <c r="I96" s="72"/>
      <c r="J96" s="72"/>
      <c r="K96" s="72"/>
      <c r="L96" s="73"/>
      <c r="M96" s="73"/>
      <c r="N96" s="73"/>
      <c r="O96" s="73"/>
      <c r="P96" s="73"/>
      <c r="Q96" s="74"/>
      <c r="R96" s="74"/>
      <c r="S96" s="72"/>
      <c r="T96" s="72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</row>
    <row r="97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51"/>
      <c r="M97" s="51"/>
      <c r="N97" s="51"/>
      <c r="O97" s="51"/>
      <c r="P97" s="51"/>
      <c r="Q97" s="52"/>
      <c r="R97" s="52"/>
      <c r="S97" s="46"/>
      <c r="T97" s="46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</row>
    <row r="98">
      <c r="A98" s="46"/>
      <c r="B98" s="46"/>
      <c r="C98" s="46"/>
      <c r="D98" s="46"/>
      <c r="E98" s="46"/>
      <c r="F98" s="46"/>
      <c r="G98" s="52"/>
      <c r="H98" s="46"/>
      <c r="I98" s="46"/>
      <c r="J98" s="46"/>
      <c r="K98" s="46"/>
      <c r="L98" s="51"/>
      <c r="M98" s="51"/>
      <c r="N98" s="51"/>
      <c r="O98" s="51"/>
      <c r="P98" s="51"/>
      <c r="Q98" s="52"/>
      <c r="R98" s="52"/>
      <c r="S98" s="46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</row>
    <row r="99">
      <c r="A99" s="46"/>
      <c r="B99" s="46"/>
      <c r="C99" s="46"/>
      <c r="D99" s="46"/>
      <c r="E99" s="46"/>
      <c r="F99" s="46"/>
      <c r="G99" s="52"/>
      <c r="H99" s="46"/>
      <c r="I99" s="46"/>
      <c r="J99" s="46"/>
      <c r="K99" s="46"/>
      <c r="L99" s="51"/>
      <c r="M99" s="51"/>
      <c r="N99" s="51"/>
      <c r="O99" s="51"/>
      <c r="P99" s="51"/>
      <c r="Q99" s="52"/>
      <c r="R99" s="52"/>
      <c r="S99" s="46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</row>
    <row r="100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51"/>
      <c r="M100" s="51"/>
      <c r="N100" s="51"/>
      <c r="O100" s="51"/>
      <c r="P100" s="51"/>
      <c r="Q100" s="52"/>
      <c r="R100" s="52"/>
      <c r="S100" s="46"/>
      <c r="T100" s="46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</row>
    <row r="101">
      <c r="A101" s="46"/>
      <c r="B101" s="46"/>
      <c r="C101" s="46"/>
      <c r="D101" s="46"/>
      <c r="E101" s="46"/>
      <c r="F101" s="46"/>
      <c r="G101" s="52"/>
      <c r="H101" s="46"/>
      <c r="I101" s="46"/>
      <c r="J101" s="46"/>
      <c r="K101" s="46"/>
      <c r="L101" s="51"/>
      <c r="M101" s="51"/>
      <c r="N101" s="51"/>
      <c r="O101" s="51"/>
      <c r="P101" s="51"/>
      <c r="Q101" s="52"/>
      <c r="R101" s="52"/>
      <c r="S101" s="46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</row>
    <row r="102">
      <c r="A102" s="75"/>
      <c r="B102" s="72"/>
      <c r="C102" s="72"/>
      <c r="D102" s="72"/>
      <c r="E102" s="72"/>
      <c r="F102" s="72"/>
      <c r="G102" s="74"/>
      <c r="H102" s="72"/>
      <c r="I102" s="72"/>
      <c r="J102" s="72"/>
      <c r="K102" s="72"/>
      <c r="L102" s="73"/>
      <c r="M102" s="73"/>
      <c r="N102" s="73"/>
      <c r="O102" s="73"/>
      <c r="P102" s="73"/>
      <c r="Q102" s="74"/>
      <c r="R102" s="74"/>
      <c r="S102" s="72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</row>
    <row r="103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51"/>
      <c r="M103" s="51"/>
      <c r="N103" s="51"/>
      <c r="O103" s="51"/>
      <c r="P103" s="51"/>
      <c r="Q103" s="52"/>
      <c r="R103" s="52"/>
      <c r="S103" s="46"/>
      <c r="T103" s="46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</row>
    <row r="104">
      <c r="A104" s="46"/>
      <c r="B104" s="46"/>
      <c r="C104" s="46"/>
      <c r="D104" s="46"/>
      <c r="E104" s="46"/>
      <c r="F104" s="46"/>
      <c r="G104" s="52"/>
      <c r="H104" s="46"/>
      <c r="I104" s="46"/>
      <c r="J104" s="46"/>
      <c r="K104" s="46"/>
      <c r="L104" s="51"/>
      <c r="M104" s="51"/>
      <c r="N104" s="51"/>
      <c r="O104" s="51"/>
      <c r="P104" s="51"/>
      <c r="Q104" s="52"/>
      <c r="R104" s="52"/>
      <c r="S104" s="46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</row>
    <row r="105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51"/>
      <c r="M105" s="51"/>
      <c r="N105" s="51"/>
      <c r="O105" s="51"/>
      <c r="P105" s="51"/>
      <c r="Q105" s="52"/>
      <c r="R105" s="52"/>
      <c r="S105" s="46"/>
      <c r="T105" s="41"/>
      <c r="U105" s="44"/>
      <c r="V105" s="41"/>
      <c r="W105" s="41"/>
      <c r="X105" s="41"/>
      <c r="Y105" s="52"/>
      <c r="Z105" s="52"/>
      <c r="AA105" s="52"/>
      <c r="AB105" s="52"/>
      <c r="AC105" s="52"/>
      <c r="AD105" s="52"/>
      <c r="AE105" s="52"/>
    </row>
    <row r="106">
      <c r="A106" s="46"/>
      <c r="B106" s="46"/>
      <c r="C106" s="46"/>
      <c r="D106" s="46"/>
      <c r="E106" s="46"/>
      <c r="F106" s="46"/>
      <c r="G106" s="52"/>
      <c r="H106" s="46"/>
      <c r="I106" s="46"/>
      <c r="J106" s="46"/>
      <c r="K106" s="46"/>
      <c r="L106" s="51"/>
      <c r="M106" s="51"/>
      <c r="N106" s="51"/>
      <c r="O106" s="51"/>
      <c r="P106" s="51"/>
      <c r="Q106" s="52"/>
      <c r="R106" s="52"/>
      <c r="S106" s="46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</row>
    <row r="107">
      <c r="A107" s="46"/>
      <c r="B107" s="46"/>
      <c r="C107" s="46"/>
      <c r="D107" s="46"/>
      <c r="E107" s="46"/>
      <c r="F107" s="46"/>
      <c r="G107" s="52"/>
      <c r="H107" s="46"/>
      <c r="I107" s="46"/>
      <c r="J107" s="46"/>
      <c r="K107" s="46"/>
      <c r="L107" s="51"/>
      <c r="M107" s="51"/>
      <c r="N107" s="51"/>
      <c r="O107" s="51"/>
      <c r="P107" s="51"/>
      <c r="Q107" s="52"/>
      <c r="R107" s="52"/>
      <c r="S107" s="46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</row>
    <row r="108">
      <c r="A108" s="46"/>
      <c r="B108" s="46"/>
      <c r="C108" s="46"/>
      <c r="D108" s="46"/>
      <c r="E108" s="46"/>
      <c r="F108" s="46"/>
      <c r="G108" s="52"/>
      <c r="H108" s="46"/>
      <c r="I108" s="46"/>
      <c r="J108" s="46"/>
      <c r="K108" s="46"/>
      <c r="L108" s="51"/>
      <c r="M108" s="51"/>
      <c r="N108" s="51"/>
      <c r="O108" s="51"/>
      <c r="P108" s="51"/>
      <c r="Q108" s="52"/>
      <c r="R108" s="52"/>
      <c r="S108" s="46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</row>
    <row r="109">
      <c r="A109" s="46"/>
      <c r="B109" s="46"/>
      <c r="C109" s="46"/>
      <c r="D109" s="46"/>
      <c r="E109" s="46"/>
      <c r="F109" s="46"/>
      <c r="G109" s="52"/>
      <c r="H109" s="46"/>
      <c r="I109" s="46"/>
      <c r="J109" s="46"/>
      <c r="K109" s="46"/>
      <c r="L109" s="51"/>
      <c r="M109" s="51"/>
      <c r="N109" s="51"/>
      <c r="O109" s="51"/>
      <c r="P109" s="51"/>
      <c r="Q109" s="52"/>
      <c r="R109" s="52"/>
      <c r="S109" s="46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</row>
    <row r="110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51"/>
      <c r="M110" s="51"/>
      <c r="N110" s="51"/>
      <c r="O110" s="51"/>
      <c r="P110" s="51"/>
      <c r="Q110" s="52"/>
      <c r="R110" s="52"/>
      <c r="S110" s="46"/>
      <c r="T110" s="46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</row>
    <row r="111">
      <c r="A111" s="46"/>
      <c r="B111" s="46"/>
      <c r="C111" s="46"/>
      <c r="D111" s="46"/>
      <c r="E111" s="46"/>
      <c r="F111" s="46"/>
      <c r="G111" s="52"/>
      <c r="H111" s="46"/>
      <c r="I111" s="46"/>
      <c r="J111" s="46"/>
      <c r="K111" s="46"/>
      <c r="L111" s="51"/>
      <c r="M111" s="51"/>
      <c r="N111" s="51"/>
      <c r="O111" s="51"/>
      <c r="P111" s="51"/>
      <c r="Q111" s="52"/>
      <c r="R111" s="52"/>
      <c r="S111" s="46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</row>
    <row r="112">
      <c r="A112" s="46"/>
      <c r="B112" s="46"/>
      <c r="C112" s="46"/>
      <c r="D112" s="46"/>
      <c r="E112" s="46"/>
      <c r="F112" s="46"/>
      <c r="G112" s="52"/>
      <c r="H112" s="46"/>
      <c r="I112" s="46"/>
      <c r="J112" s="46"/>
      <c r="K112" s="46"/>
      <c r="L112" s="51"/>
      <c r="M112" s="51"/>
      <c r="N112" s="51"/>
      <c r="O112" s="51"/>
      <c r="P112" s="51"/>
      <c r="Q112" s="52"/>
      <c r="R112" s="52"/>
      <c r="S112" s="46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</row>
    <row r="113">
      <c r="A113" s="46"/>
      <c r="B113" s="46"/>
      <c r="C113" s="46"/>
      <c r="D113" s="46"/>
      <c r="E113" s="46"/>
      <c r="F113" s="46"/>
      <c r="G113" s="52"/>
      <c r="H113" s="46"/>
      <c r="I113" s="46"/>
      <c r="J113" s="46"/>
      <c r="K113" s="46"/>
      <c r="L113" s="51"/>
      <c r="M113" s="51"/>
      <c r="N113" s="51"/>
      <c r="O113" s="51"/>
      <c r="P113" s="51"/>
      <c r="Q113" s="52"/>
      <c r="R113" s="52"/>
      <c r="S113" s="46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</row>
    <row r="114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51"/>
      <c r="M114" s="51"/>
      <c r="N114" s="51"/>
      <c r="O114" s="51"/>
      <c r="P114" s="51"/>
      <c r="Q114" s="52"/>
      <c r="R114" s="52"/>
      <c r="S114" s="46"/>
      <c r="T114" s="46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</row>
    <row r="115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51"/>
      <c r="M115" s="51"/>
      <c r="N115" s="51"/>
      <c r="O115" s="51"/>
      <c r="P115" s="51"/>
      <c r="Q115" s="52"/>
      <c r="R115" s="52"/>
      <c r="S115" s="46"/>
      <c r="T115" s="46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</row>
    <row r="116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51"/>
      <c r="M116" s="51"/>
      <c r="N116" s="51"/>
      <c r="O116" s="51"/>
      <c r="P116" s="51"/>
      <c r="Q116" s="52"/>
      <c r="R116" s="52"/>
      <c r="S116" s="46"/>
      <c r="T116" s="46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</row>
    <row r="117">
      <c r="A117" s="46"/>
      <c r="B117" s="46"/>
      <c r="C117" s="46"/>
      <c r="D117" s="46"/>
      <c r="E117" s="46"/>
      <c r="F117" s="46"/>
      <c r="G117" s="52"/>
      <c r="H117" s="46"/>
      <c r="I117" s="46"/>
      <c r="J117" s="46"/>
      <c r="K117" s="46"/>
      <c r="L117" s="51"/>
      <c r="M117" s="51"/>
      <c r="N117" s="51"/>
      <c r="O117" s="51"/>
      <c r="P117" s="51"/>
      <c r="Q117" s="52"/>
      <c r="R117" s="52"/>
      <c r="S117" s="46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</row>
    <row r="118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51"/>
      <c r="M118" s="51"/>
      <c r="N118" s="51"/>
      <c r="O118" s="51"/>
      <c r="P118" s="51"/>
      <c r="Q118" s="52"/>
      <c r="R118" s="52"/>
      <c r="S118" s="46"/>
      <c r="T118" s="46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</row>
    <row r="119">
      <c r="A119" s="46"/>
      <c r="B119" s="46"/>
      <c r="C119" s="46"/>
      <c r="D119" s="46"/>
      <c r="E119" s="46"/>
      <c r="F119" s="46"/>
      <c r="G119" s="52"/>
      <c r="H119" s="46"/>
      <c r="I119" s="46"/>
      <c r="J119" s="46"/>
      <c r="K119" s="46"/>
      <c r="L119" s="51"/>
      <c r="M119" s="51"/>
      <c r="N119" s="51"/>
      <c r="O119" s="51"/>
      <c r="P119" s="51"/>
      <c r="Q119" s="52"/>
      <c r="R119" s="52"/>
      <c r="S119" s="46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</row>
    <row r="120">
      <c r="A120" s="46"/>
      <c r="B120" s="46"/>
      <c r="C120" s="46"/>
      <c r="D120" s="46"/>
      <c r="E120" s="46"/>
      <c r="F120" s="46"/>
      <c r="G120" s="52"/>
      <c r="H120" s="46"/>
      <c r="I120" s="46"/>
      <c r="J120" s="46"/>
      <c r="K120" s="46"/>
      <c r="L120" s="51"/>
      <c r="M120" s="51"/>
      <c r="N120" s="51"/>
      <c r="O120" s="51"/>
      <c r="P120" s="51"/>
      <c r="Q120" s="52"/>
      <c r="R120" s="52"/>
      <c r="S120" s="46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</row>
    <row r="121">
      <c r="A121" s="46"/>
      <c r="B121" s="46"/>
      <c r="C121" s="46"/>
      <c r="D121" s="46"/>
      <c r="E121" s="46"/>
      <c r="F121" s="46"/>
      <c r="G121" s="52"/>
      <c r="H121" s="46"/>
      <c r="I121" s="46"/>
      <c r="J121" s="46"/>
      <c r="K121" s="46"/>
      <c r="L121" s="51"/>
      <c r="M121" s="51"/>
      <c r="N121" s="51"/>
      <c r="O121" s="51"/>
      <c r="P121" s="51"/>
      <c r="Q121" s="52"/>
      <c r="R121" s="52"/>
      <c r="S121" s="46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</row>
    <row r="122">
      <c r="A122" s="46"/>
      <c r="B122" s="46"/>
      <c r="C122" s="46"/>
      <c r="D122" s="46"/>
      <c r="E122" s="46"/>
      <c r="F122" s="46"/>
      <c r="G122" s="52"/>
      <c r="H122" s="46"/>
      <c r="I122" s="46"/>
      <c r="J122" s="46"/>
      <c r="K122" s="46"/>
      <c r="L122" s="51"/>
      <c r="M122" s="51"/>
      <c r="N122" s="51"/>
      <c r="O122" s="51"/>
      <c r="P122" s="51"/>
      <c r="Q122" s="52"/>
      <c r="R122" s="52"/>
      <c r="S122" s="46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</row>
    <row r="123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51"/>
      <c r="M123" s="51"/>
      <c r="N123" s="51"/>
      <c r="O123" s="51"/>
      <c r="P123" s="51"/>
      <c r="Q123" s="52"/>
      <c r="R123" s="52"/>
      <c r="S123" s="46"/>
      <c r="T123" s="46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</row>
    <row r="124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51"/>
      <c r="M124" s="51"/>
      <c r="N124" s="51"/>
      <c r="O124" s="51"/>
      <c r="P124" s="51"/>
      <c r="Q124" s="52"/>
      <c r="R124" s="52"/>
      <c r="S124" s="46"/>
      <c r="T124" s="46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</row>
    <row r="125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51"/>
      <c r="M125" s="51"/>
      <c r="N125" s="51"/>
      <c r="O125" s="51"/>
      <c r="P125" s="51"/>
      <c r="Q125" s="52"/>
      <c r="R125" s="52"/>
      <c r="S125" s="46"/>
      <c r="T125" s="46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</row>
    <row r="126">
      <c r="A126" s="46"/>
      <c r="B126" s="46"/>
      <c r="C126" s="46"/>
      <c r="D126" s="46"/>
      <c r="E126" s="46"/>
      <c r="F126" s="46"/>
      <c r="G126" s="52"/>
      <c r="H126" s="46"/>
      <c r="I126" s="46"/>
      <c r="J126" s="46"/>
      <c r="K126" s="46"/>
      <c r="L126" s="51"/>
      <c r="M126" s="51"/>
      <c r="N126" s="51"/>
      <c r="O126" s="51"/>
      <c r="P126" s="51"/>
      <c r="Q126" s="52"/>
      <c r="R126" s="52"/>
      <c r="S126" s="46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</row>
    <row r="127">
      <c r="A127" s="46"/>
      <c r="B127" s="46"/>
      <c r="C127" s="46"/>
      <c r="D127" s="46"/>
      <c r="E127" s="46"/>
      <c r="F127" s="46"/>
      <c r="G127" s="52"/>
      <c r="H127" s="46"/>
      <c r="I127" s="46"/>
      <c r="J127" s="46"/>
      <c r="K127" s="46"/>
      <c r="L127" s="51"/>
      <c r="M127" s="51"/>
      <c r="N127" s="51"/>
      <c r="O127" s="51"/>
      <c r="P127" s="51"/>
      <c r="Q127" s="52"/>
      <c r="R127" s="52"/>
      <c r="S127" s="46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</row>
    <row r="128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51"/>
      <c r="M128" s="51"/>
      <c r="N128" s="51"/>
      <c r="O128" s="51"/>
      <c r="P128" s="51"/>
      <c r="Q128" s="52"/>
      <c r="R128" s="52"/>
      <c r="S128" s="46"/>
      <c r="T128" s="46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</row>
    <row r="129">
      <c r="A129" s="46"/>
      <c r="B129" s="46"/>
      <c r="C129" s="46"/>
      <c r="D129" s="46"/>
      <c r="E129" s="46"/>
      <c r="F129" s="46"/>
      <c r="G129" s="52"/>
      <c r="H129" s="46"/>
      <c r="I129" s="46"/>
      <c r="J129" s="46"/>
      <c r="K129" s="46"/>
      <c r="L129" s="51"/>
      <c r="M129" s="51"/>
      <c r="N129" s="51"/>
      <c r="O129" s="51"/>
      <c r="P129" s="51"/>
      <c r="Q129" s="52"/>
      <c r="R129" s="52"/>
      <c r="S129" s="46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</row>
    <row r="130">
      <c r="A130" s="75"/>
      <c r="B130" s="72"/>
      <c r="C130" s="72"/>
      <c r="D130" s="72"/>
      <c r="E130" s="72"/>
      <c r="F130" s="72"/>
      <c r="G130" s="72"/>
      <c r="H130" s="72"/>
      <c r="I130" s="72"/>
      <c r="J130" s="72"/>
      <c r="K130" s="72"/>
      <c r="L130" s="73"/>
      <c r="M130" s="73"/>
      <c r="N130" s="73"/>
      <c r="O130" s="73"/>
      <c r="P130" s="73"/>
      <c r="Q130" s="74"/>
      <c r="R130" s="74"/>
      <c r="S130" s="72"/>
      <c r="T130" s="72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</row>
    <row r="131">
      <c r="A131" s="46"/>
      <c r="B131" s="46"/>
      <c r="C131" s="46"/>
      <c r="D131" s="46"/>
      <c r="E131" s="46"/>
      <c r="F131" s="46"/>
      <c r="G131" s="52"/>
      <c r="H131" s="46"/>
      <c r="I131" s="46"/>
      <c r="J131" s="46"/>
      <c r="K131" s="46"/>
      <c r="L131" s="51"/>
      <c r="M131" s="51"/>
      <c r="N131" s="51"/>
      <c r="O131" s="51"/>
      <c r="P131" s="51"/>
      <c r="Q131" s="52"/>
      <c r="R131" s="52"/>
      <c r="S131" s="46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</row>
    <row r="132">
      <c r="A132" s="46"/>
      <c r="B132" s="46"/>
      <c r="C132" s="46"/>
      <c r="D132" s="46"/>
      <c r="E132" s="46"/>
      <c r="F132" s="46"/>
      <c r="G132" s="52"/>
      <c r="H132" s="46"/>
      <c r="I132" s="46"/>
      <c r="J132" s="46"/>
      <c r="K132" s="46"/>
      <c r="L132" s="51"/>
      <c r="M132" s="51"/>
      <c r="N132" s="51"/>
      <c r="O132" s="51"/>
      <c r="P132" s="51"/>
      <c r="Q132" s="52"/>
      <c r="R132" s="52"/>
      <c r="S132" s="46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</row>
    <row r="133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51"/>
      <c r="M133" s="51"/>
      <c r="N133" s="51"/>
      <c r="O133" s="51"/>
      <c r="P133" s="51"/>
      <c r="Q133" s="52"/>
      <c r="R133" s="52"/>
      <c r="S133" s="46"/>
      <c r="T133" s="46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</row>
    <row r="134">
      <c r="A134" s="46"/>
      <c r="B134" s="46"/>
      <c r="C134" s="46"/>
      <c r="D134" s="46"/>
      <c r="E134" s="46"/>
      <c r="F134" s="46"/>
      <c r="G134" s="52"/>
      <c r="H134" s="46"/>
      <c r="I134" s="46"/>
      <c r="J134" s="46"/>
      <c r="K134" s="46"/>
      <c r="L134" s="51"/>
      <c r="M134" s="51"/>
      <c r="N134" s="51"/>
      <c r="O134" s="51"/>
      <c r="P134" s="51"/>
      <c r="Q134" s="52"/>
      <c r="R134" s="52"/>
      <c r="S134" s="46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</row>
    <row r="135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51"/>
      <c r="M135" s="51"/>
      <c r="N135" s="51"/>
      <c r="O135" s="51"/>
      <c r="P135" s="51"/>
      <c r="Q135" s="52"/>
      <c r="R135" s="52"/>
      <c r="S135" s="46"/>
      <c r="T135" s="46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</row>
    <row r="136">
      <c r="A136" s="46"/>
      <c r="B136" s="46"/>
      <c r="C136" s="46"/>
      <c r="D136" s="46"/>
      <c r="E136" s="46"/>
      <c r="F136" s="46"/>
      <c r="G136" s="52"/>
      <c r="H136" s="46"/>
      <c r="I136" s="46"/>
      <c r="J136" s="46"/>
      <c r="K136" s="46"/>
      <c r="L136" s="51"/>
      <c r="M136" s="51"/>
      <c r="N136" s="51"/>
      <c r="O136" s="51"/>
      <c r="P136" s="51"/>
      <c r="Q136" s="52"/>
      <c r="R136" s="52"/>
      <c r="S136" s="46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</row>
    <row r="137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51"/>
      <c r="M137" s="51"/>
      <c r="N137" s="51"/>
      <c r="O137" s="51"/>
      <c r="P137" s="51"/>
      <c r="Q137" s="52"/>
      <c r="R137" s="52"/>
      <c r="S137" s="46"/>
      <c r="T137" s="46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</row>
    <row r="138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51"/>
      <c r="M138" s="51"/>
      <c r="N138" s="51"/>
      <c r="O138" s="51"/>
      <c r="P138" s="51"/>
      <c r="Q138" s="52"/>
      <c r="R138" s="52"/>
      <c r="S138" s="46"/>
      <c r="T138" s="46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</row>
    <row r="139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51"/>
      <c r="M139" s="51"/>
      <c r="N139" s="51"/>
      <c r="O139" s="51"/>
      <c r="P139" s="51"/>
      <c r="Q139" s="52"/>
      <c r="R139" s="52"/>
      <c r="S139" s="46"/>
      <c r="T139" s="46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</row>
    <row r="140">
      <c r="A140" s="46"/>
      <c r="B140" s="46"/>
      <c r="C140" s="46"/>
      <c r="D140" s="46"/>
      <c r="E140" s="46"/>
      <c r="F140" s="46"/>
      <c r="G140" s="52"/>
      <c r="H140" s="46"/>
      <c r="I140" s="46"/>
      <c r="J140" s="46"/>
      <c r="K140" s="46"/>
      <c r="L140" s="51"/>
      <c r="M140" s="51"/>
      <c r="N140" s="51"/>
      <c r="O140" s="51"/>
      <c r="P140" s="51"/>
      <c r="Q140" s="52"/>
      <c r="R140" s="52"/>
      <c r="S140" s="46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</row>
    <row r="14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51"/>
      <c r="M141" s="51"/>
      <c r="N141" s="51"/>
      <c r="O141" s="51"/>
      <c r="P141" s="51"/>
      <c r="Q141" s="52"/>
      <c r="R141" s="52"/>
      <c r="S141" s="46"/>
      <c r="T141" s="46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</row>
    <row r="14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51"/>
      <c r="M142" s="51"/>
      <c r="N142" s="51"/>
      <c r="O142" s="51"/>
      <c r="P142" s="51"/>
      <c r="Q142" s="52"/>
      <c r="R142" s="52"/>
      <c r="S142" s="46"/>
      <c r="T142" s="46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</row>
    <row r="143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51"/>
      <c r="M143" s="51"/>
      <c r="N143" s="51"/>
      <c r="O143" s="51"/>
      <c r="P143" s="51"/>
      <c r="Q143" s="52"/>
      <c r="R143" s="52"/>
      <c r="S143" s="46"/>
      <c r="T143" s="46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</row>
    <row r="144">
      <c r="A144" s="46"/>
      <c r="B144" s="46"/>
      <c r="C144" s="46"/>
      <c r="D144" s="46"/>
      <c r="E144" s="46"/>
      <c r="F144" s="46"/>
      <c r="G144" s="52"/>
      <c r="H144" s="46"/>
      <c r="I144" s="46"/>
      <c r="J144" s="46"/>
      <c r="K144" s="46"/>
      <c r="L144" s="51"/>
      <c r="M144" s="51"/>
      <c r="N144" s="51"/>
      <c r="O144" s="51"/>
      <c r="P144" s="51"/>
      <c r="Q144" s="52"/>
      <c r="R144" s="52"/>
      <c r="S144" s="46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</row>
    <row r="145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51"/>
      <c r="M145" s="51"/>
      <c r="N145" s="51"/>
      <c r="O145" s="51"/>
      <c r="P145" s="51"/>
      <c r="Q145" s="52"/>
      <c r="R145" s="52"/>
      <c r="S145" s="46"/>
      <c r="T145" s="46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</row>
    <row r="146">
      <c r="A146" s="46"/>
      <c r="B146" s="46"/>
      <c r="C146" s="46"/>
      <c r="D146" s="46"/>
      <c r="E146" s="46"/>
      <c r="F146" s="46"/>
      <c r="G146" s="52"/>
      <c r="H146" s="46"/>
      <c r="I146" s="46"/>
      <c r="J146" s="46"/>
      <c r="K146" s="46"/>
      <c r="L146" s="51"/>
      <c r="M146" s="51"/>
      <c r="N146" s="51"/>
      <c r="O146" s="51"/>
      <c r="P146" s="51"/>
      <c r="Q146" s="52"/>
      <c r="R146" s="52"/>
      <c r="S146" s="46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</row>
    <row r="147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51"/>
      <c r="M147" s="51"/>
      <c r="N147" s="51"/>
      <c r="O147" s="51"/>
      <c r="P147" s="51"/>
      <c r="Q147" s="52"/>
      <c r="R147" s="52"/>
      <c r="S147" s="46"/>
      <c r="T147" s="46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</row>
    <row r="148">
      <c r="A148" s="75"/>
      <c r="B148" s="72"/>
      <c r="C148" s="72"/>
      <c r="D148" s="72"/>
      <c r="E148" s="72"/>
      <c r="F148" s="72"/>
      <c r="G148" s="74"/>
      <c r="H148" s="72"/>
      <c r="I148" s="72"/>
      <c r="J148" s="72"/>
      <c r="K148" s="72"/>
      <c r="L148" s="73"/>
      <c r="M148" s="73"/>
      <c r="N148" s="73"/>
      <c r="O148" s="73"/>
      <c r="P148" s="73"/>
      <c r="Q148" s="74"/>
      <c r="R148" s="74"/>
      <c r="S148" s="72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</row>
    <row r="149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51"/>
      <c r="M149" s="51"/>
      <c r="N149" s="51"/>
      <c r="O149" s="51"/>
      <c r="P149" s="51"/>
      <c r="Q149" s="52"/>
      <c r="R149" s="52"/>
      <c r="S149" s="46"/>
      <c r="T149" s="46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</row>
    <row r="150">
      <c r="A150" s="46"/>
      <c r="B150" s="46"/>
      <c r="C150" s="46"/>
      <c r="D150" s="46"/>
      <c r="E150" s="46"/>
      <c r="F150" s="46"/>
      <c r="G150" s="52"/>
      <c r="H150" s="46"/>
      <c r="I150" s="46"/>
      <c r="J150" s="46"/>
      <c r="K150" s="46"/>
      <c r="L150" s="51"/>
      <c r="M150" s="51"/>
      <c r="N150" s="51"/>
      <c r="O150" s="51"/>
      <c r="P150" s="51"/>
      <c r="Q150" s="52"/>
      <c r="R150" s="52"/>
      <c r="S150" s="46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</row>
    <row r="151">
      <c r="A151" s="46"/>
      <c r="B151" s="46"/>
      <c r="C151" s="46"/>
      <c r="D151" s="46"/>
      <c r="E151" s="46"/>
      <c r="F151" s="46"/>
      <c r="G151" s="52"/>
      <c r="H151" s="46"/>
      <c r="I151" s="46"/>
      <c r="J151" s="46"/>
      <c r="K151" s="46"/>
      <c r="L151" s="51"/>
      <c r="M151" s="51"/>
      <c r="N151" s="51"/>
      <c r="O151" s="51"/>
      <c r="P151" s="51"/>
      <c r="Q151" s="52"/>
      <c r="R151" s="52"/>
      <c r="S151" s="46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</row>
    <row r="15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51"/>
      <c r="M152" s="51"/>
      <c r="N152" s="51"/>
      <c r="O152" s="51"/>
      <c r="P152" s="51"/>
      <c r="Q152" s="52"/>
      <c r="R152" s="52"/>
      <c r="S152" s="46"/>
      <c r="T152" s="46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</row>
    <row r="153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51"/>
      <c r="M153" s="51"/>
      <c r="N153" s="51"/>
      <c r="O153" s="51"/>
      <c r="P153" s="51"/>
      <c r="Q153" s="52"/>
      <c r="R153" s="52"/>
      <c r="S153" s="46"/>
      <c r="T153" s="46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</row>
    <row r="154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51"/>
      <c r="M154" s="51"/>
      <c r="N154" s="51"/>
      <c r="O154" s="51"/>
      <c r="P154" s="51"/>
      <c r="Q154" s="52"/>
      <c r="R154" s="52"/>
      <c r="S154" s="46"/>
      <c r="T154" s="46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</row>
    <row r="155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51"/>
      <c r="M155" s="51"/>
      <c r="N155" s="51"/>
      <c r="O155" s="51"/>
      <c r="P155" s="51"/>
      <c r="Q155" s="52"/>
      <c r="R155" s="52"/>
      <c r="S155" s="46"/>
      <c r="T155" s="46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</row>
    <row r="156">
      <c r="A156" s="46"/>
      <c r="B156" s="46"/>
      <c r="C156" s="46"/>
      <c r="D156" s="46"/>
      <c r="E156" s="46"/>
      <c r="F156" s="46"/>
      <c r="G156" s="52"/>
      <c r="H156" s="46"/>
      <c r="I156" s="46"/>
      <c r="J156" s="46"/>
      <c r="K156" s="46"/>
      <c r="L156" s="51"/>
      <c r="M156" s="51"/>
      <c r="N156" s="51"/>
      <c r="O156" s="51"/>
      <c r="P156" s="51"/>
      <c r="Q156" s="52"/>
      <c r="R156" s="52"/>
      <c r="S156" s="46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</row>
    <row r="157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51"/>
      <c r="M157" s="51"/>
      <c r="N157" s="51"/>
      <c r="O157" s="51"/>
      <c r="P157" s="51"/>
      <c r="Q157" s="52"/>
      <c r="R157" s="52"/>
      <c r="S157" s="46"/>
      <c r="T157" s="46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</row>
    <row r="158">
      <c r="A158" s="71"/>
      <c r="B158" s="72"/>
      <c r="C158" s="72"/>
      <c r="D158" s="72"/>
      <c r="E158" s="72"/>
      <c r="F158" s="72"/>
      <c r="G158" s="72"/>
      <c r="H158" s="72"/>
      <c r="I158" s="72"/>
      <c r="J158" s="72"/>
      <c r="K158" s="72"/>
      <c r="L158" s="73"/>
      <c r="M158" s="73"/>
      <c r="N158" s="73"/>
      <c r="O158" s="73"/>
      <c r="P158" s="73"/>
      <c r="Q158" s="74"/>
      <c r="R158" s="74"/>
      <c r="S158" s="72"/>
      <c r="T158" s="72"/>
      <c r="U158" s="74"/>
      <c r="V158" s="74"/>
      <c r="W158" s="74"/>
      <c r="X158" s="74"/>
      <c r="Y158" s="74"/>
      <c r="Z158" s="74"/>
      <c r="AA158" s="74"/>
      <c r="AB158" s="74"/>
      <c r="AC158" s="74"/>
      <c r="AD158" s="74"/>
      <c r="AE158" s="74"/>
    </row>
    <row r="159">
      <c r="A159" s="46"/>
      <c r="B159" s="46"/>
      <c r="C159" s="46"/>
      <c r="D159" s="46"/>
      <c r="E159" s="46"/>
      <c r="F159" s="46"/>
      <c r="G159" s="52"/>
      <c r="H159" s="46"/>
      <c r="I159" s="46"/>
      <c r="J159" s="46"/>
      <c r="K159" s="46"/>
      <c r="L159" s="51"/>
      <c r="M159" s="51"/>
      <c r="N159" s="51"/>
      <c r="O159" s="51"/>
      <c r="P159" s="51"/>
      <c r="Q159" s="52"/>
      <c r="R159" s="52"/>
      <c r="S159" s="46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</row>
    <row r="160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51"/>
      <c r="M160" s="51"/>
      <c r="N160" s="51"/>
      <c r="O160" s="51"/>
      <c r="P160" s="51"/>
      <c r="Q160" s="52"/>
      <c r="R160" s="52"/>
      <c r="S160" s="46"/>
      <c r="T160" s="46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</row>
    <row r="16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51"/>
      <c r="M161" s="51"/>
      <c r="N161" s="51"/>
      <c r="O161" s="51"/>
      <c r="P161" s="51"/>
      <c r="Q161" s="52"/>
      <c r="R161" s="52"/>
      <c r="S161" s="46"/>
      <c r="T161" s="46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</row>
    <row r="16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51"/>
      <c r="M162" s="51"/>
      <c r="N162" s="51"/>
      <c r="O162" s="51"/>
      <c r="P162" s="51"/>
      <c r="Q162" s="52"/>
      <c r="R162" s="52"/>
      <c r="S162" s="46"/>
      <c r="T162" s="46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</row>
    <row r="163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51"/>
      <c r="M163" s="51"/>
      <c r="N163" s="51"/>
      <c r="O163" s="51"/>
      <c r="P163" s="51"/>
      <c r="Q163" s="52"/>
      <c r="R163" s="52"/>
      <c r="S163" s="46"/>
      <c r="T163" s="46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</row>
    <row r="164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51"/>
      <c r="M164" s="51"/>
      <c r="N164" s="51"/>
      <c r="O164" s="51"/>
      <c r="P164" s="51"/>
      <c r="Q164" s="52"/>
      <c r="R164" s="52"/>
      <c r="S164" s="46"/>
      <c r="T164" s="46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</row>
    <row r="165">
      <c r="A165" s="46"/>
      <c r="B165" s="46"/>
      <c r="C165" s="46"/>
      <c r="D165" s="46"/>
      <c r="E165" s="46"/>
      <c r="F165" s="46"/>
      <c r="G165" s="52"/>
      <c r="H165" s="46"/>
      <c r="I165" s="46"/>
      <c r="J165" s="46"/>
      <c r="K165" s="46"/>
      <c r="L165" s="51"/>
      <c r="M165" s="51"/>
      <c r="N165" s="51"/>
      <c r="O165" s="51"/>
      <c r="P165" s="51"/>
      <c r="Q165" s="52"/>
      <c r="R165" s="52"/>
      <c r="S165" s="46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</row>
    <row r="166">
      <c r="A166" s="46"/>
      <c r="B166" s="46"/>
      <c r="C166" s="46"/>
      <c r="D166" s="46"/>
      <c r="E166" s="46"/>
      <c r="F166" s="46"/>
      <c r="G166" s="52"/>
      <c r="H166" s="46"/>
      <c r="I166" s="46"/>
      <c r="J166" s="46"/>
      <c r="K166" s="46"/>
      <c r="L166" s="51"/>
      <c r="M166" s="51"/>
      <c r="N166" s="51"/>
      <c r="O166" s="51"/>
      <c r="P166" s="51"/>
      <c r="Q166" s="52"/>
      <c r="R166" s="52"/>
      <c r="S166" s="46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</row>
    <row r="167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51"/>
      <c r="M167" s="51"/>
      <c r="N167" s="51"/>
      <c r="O167" s="51"/>
      <c r="P167" s="51"/>
      <c r="Q167" s="52"/>
      <c r="R167" s="52"/>
      <c r="S167" s="46"/>
      <c r="T167" s="46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</row>
    <row r="168">
      <c r="A168" s="46"/>
      <c r="B168" s="46"/>
      <c r="C168" s="46"/>
      <c r="D168" s="46"/>
      <c r="E168" s="46"/>
      <c r="F168" s="46"/>
      <c r="G168" s="52"/>
      <c r="H168" s="46"/>
      <c r="I168" s="46"/>
      <c r="J168" s="46"/>
      <c r="K168" s="46"/>
      <c r="L168" s="51"/>
      <c r="M168" s="51"/>
      <c r="N168" s="51"/>
      <c r="O168" s="51"/>
      <c r="P168" s="51"/>
      <c r="Q168" s="52"/>
      <c r="R168" s="52"/>
      <c r="S168" s="46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</row>
    <row r="169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51"/>
      <c r="M169" s="51"/>
      <c r="N169" s="51"/>
      <c r="O169" s="51"/>
      <c r="P169" s="51"/>
      <c r="Q169" s="52"/>
      <c r="R169" s="52"/>
      <c r="S169" s="46"/>
      <c r="T169" s="46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</row>
    <row r="170">
      <c r="A170" s="46"/>
      <c r="B170" s="46"/>
      <c r="C170" s="46"/>
      <c r="D170" s="46"/>
      <c r="E170" s="46"/>
      <c r="F170" s="46"/>
      <c r="G170" s="52"/>
      <c r="H170" s="46"/>
      <c r="I170" s="46"/>
      <c r="J170" s="46"/>
      <c r="K170" s="46"/>
      <c r="L170" s="51"/>
      <c r="M170" s="51"/>
      <c r="N170" s="51"/>
      <c r="O170" s="51"/>
      <c r="P170" s="51"/>
      <c r="Q170" s="52"/>
      <c r="R170" s="52"/>
      <c r="S170" s="46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</row>
    <row r="17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51"/>
      <c r="M171" s="51"/>
      <c r="N171" s="51"/>
      <c r="O171" s="51"/>
      <c r="P171" s="51"/>
      <c r="Q171" s="52"/>
      <c r="R171" s="52"/>
      <c r="S171" s="46"/>
      <c r="T171" s="46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</row>
    <row r="17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51"/>
      <c r="M172" s="51"/>
      <c r="N172" s="51"/>
      <c r="O172" s="51"/>
      <c r="P172" s="51"/>
      <c r="Q172" s="52"/>
      <c r="R172" s="52"/>
      <c r="S172" s="46"/>
      <c r="T172" s="46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</row>
    <row r="173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51"/>
      <c r="M173" s="51"/>
      <c r="N173" s="51"/>
      <c r="O173" s="51"/>
      <c r="P173" s="51"/>
      <c r="Q173" s="52"/>
      <c r="R173" s="52"/>
      <c r="S173" s="46"/>
      <c r="T173" s="46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</row>
    <row r="174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51"/>
      <c r="M174" s="51"/>
      <c r="N174" s="51"/>
      <c r="O174" s="51"/>
      <c r="P174" s="51"/>
      <c r="Q174" s="52"/>
      <c r="R174" s="52"/>
      <c r="S174" s="46"/>
      <c r="T174" s="46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</row>
    <row r="175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51"/>
      <c r="M175" s="51"/>
      <c r="N175" s="51"/>
      <c r="O175" s="51"/>
      <c r="P175" s="51"/>
      <c r="Q175" s="52"/>
      <c r="R175" s="52"/>
      <c r="S175" s="46"/>
      <c r="T175" s="46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</row>
    <row r="176">
      <c r="A176" s="46"/>
      <c r="B176" s="46"/>
      <c r="C176" s="46"/>
      <c r="D176" s="46"/>
      <c r="E176" s="46"/>
      <c r="F176" s="46"/>
      <c r="G176" s="52"/>
      <c r="H176" s="46"/>
      <c r="I176" s="46"/>
      <c r="J176" s="46"/>
      <c r="K176" s="46"/>
      <c r="L176" s="51"/>
      <c r="M176" s="51"/>
      <c r="N176" s="51"/>
      <c r="O176" s="51"/>
      <c r="P176" s="51"/>
      <c r="Q176" s="52"/>
      <c r="R176" s="52"/>
      <c r="S176" s="46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</row>
    <row r="177">
      <c r="A177" s="46"/>
      <c r="B177" s="46"/>
      <c r="C177" s="46"/>
      <c r="D177" s="46"/>
      <c r="E177" s="46"/>
      <c r="F177" s="46"/>
      <c r="G177" s="52"/>
      <c r="H177" s="46"/>
      <c r="I177" s="46"/>
      <c r="J177" s="46"/>
      <c r="K177" s="46"/>
      <c r="L177" s="51"/>
      <c r="M177" s="51"/>
      <c r="N177" s="51"/>
      <c r="O177" s="51"/>
      <c r="P177" s="51"/>
      <c r="Q177" s="52"/>
      <c r="R177" s="52"/>
      <c r="S177" s="46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</row>
    <row r="178">
      <c r="A178" s="46"/>
      <c r="B178" s="46"/>
      <c r="C178" s="46"/>
      <c r="D178" s="46"/>
      <c r="E178" s="46"/>
      <c r="F178" s="46"/>
      <c r="G178" s="52"/>
      <c r="H178" s="46"/>
      <c r="I178" s="46"/>
      <c r="J178" s="46"/>
      <c r="K178" s="46"/>
      <c r="L178" s="51"/>
      <c r="M178" s="51"/>
      <c r="N178" s="51"/>
      <c r="O178" s="51"/>
      <c r="P178" s="51"/>
      <c r="Q178" s="52"/>
      <c r="R178" s="52"/>
      <c r="S178" s="46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</row>
    <row r="179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51"/>
      <c r="M179" s="51"/>
      <c r="N179" s="51"/>
      <c r="O179" s="51"/>
      <c r="P179" s="51"/>
      <c r="Q179" s="52"/>
      <c r="R179" s="52"/>
      <c r="S179" s="46"/>
      <c r="T179" s="46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</row>
    <row r="180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51"/>
      <c r="M180" s="51"/>
      <c r="N180" s="51"/>
      <c r="O180" s="51"/>
      <c r="P180" s="51"/>
      <c r="Q180" s="52"/>
      <c r="R180" s="52"/>
      <c r="S180" s="46"/>
      <c r="T180" s="46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</row>
    <row r="181">
      <c r="A181" s="46"/>
      <c r="B181" s="46"/>
      <c r="C181" s="46"/>
      <c r="D181" s="46"/>
      <c r="E181" s="46"/>
      <c r="F181" s="46"/>
      <c r="G181" s="52"/>
      <c r="H181" s="46"/>
      <c r="I181" s="46"/>
      <c r="J181" s="46"/>
      <c r="K181" s="46"/>
      <c r="L181" s="51"/>
      <c r="M181" s="51"/>
      <c r="N181" s="51"/>
      <c r="O181" s="51"/>
      <c r="P181" s="51"/>
      <c r="Q181" s="52"/>
      <c r="R181" s="52"/>
      <c r="S181" s="46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</row>
    <row r="18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51"/>
      <c r="M182" s="51"/>
      <c r="N182" s="51"/>
      <c r="O182" s="51"/>
      <c r="P182" s="51"/>
      <c r="Q182" s="52"/>
      <c r="R182" s="52"/>
      <c r="S182" s="46"/>
      <c r="T182" s="46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</row>
    <row r="183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51"/>
      <c r="M183" s="51"/>
      <c r="N183" s="51"/>
      <c r="O183" s="51"/>
      <c r="P183" s="51"/>
      <c r="Q183" s="52"/>
      <c r="R183" s="52"/>
      <c r="S183" s="46"/>
      <c r="T183" s="46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</row>
    <row r="184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51"/>
      <c r="M184" s="51"/>
      <c r="N184" s="51"/>
      <c r="O184" s="51"/>
      <c r="P184" s="51"/>
      <c r="Q184" s="52"/>
      <c r="R184" s="52"/>
      <c r="S184" s="46"/>
      <c r="T184" s="46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</row>
    <row r="185">
      <c r="A185" s="46"/>
      <c r="B185" s="46"/>
      <c r="C185" s="46"/>
      <c r="D185" s="46"/>
      <c r="E185" s="46"/>
      <c r="F185" s="46"/>
      <c r="G185" s="52"/>
      <c r="H185" s="46"/>
      <c r="I185" s="46"/>
      <c r="J185" s="46"/>
      <c r="K185" s="46"/>
      <c r="L185" s="51"/>
      <c r="M185" s="51"/>
      <c r="N185" s="51"/>
      <c r="O185" s="51"/>
      <c r="P185" s="51"/>
      <c r="Q185" s="52"/>
      <c r="R185" s="52"/>
      <c r="S185" s="46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</row>
    <row r="186">
      <c r="A186" s="46"/>
      <c r="B186" s="46"/>
      <c r="C186" s="46"/>
      <c r="D186" s="46"/>
      <c r="E186" s="46"/>
      <c r="F186" s="46"/>
      <c r="G186" s="52"/>
      <c r="H186" s="46"/>
      <c r="I186" s="46"/>
      <c r="J186" s="46"/>
      <c r="K186" s="46"/>
      <c r="L186" s="51"/>
      <c r="M186" s="51"/>
      <c r="N186" s="51"/>
      <c r="O186" s="51"/>
      <c r="P186" s="51"/>
      <c r="Q186" s="52"/>
      <c r="R186" s="52"/>
      <c r="S186" s="46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</row>
    <row r="187">
      <c r="A187" s="46"/>
      <c r="B187" s="46"/>
      <c r="C187" s="46"/>
      <c r="D187" s="46"/>
      <c r="E187" s="46"/>
      <c r="F187" s="46"/>
      <c r="G187" s="52"/>
      <c r="H187" s="46"/>
      <c r="I187" s="46"/>
      <c r="J187" s="46"/>
      <c r="K187" s="46"/>
      <c r="L187" s="51"/>
      <c r="M187" s="51"/>
      <c r="N187" s="51"/>
      <c r="O187" s="51"/>
      <c r="P187" s="51"/>
      <c r="Q187" s="52"/>
      <c r="R187" s="52"/>
      <c r="S187" s="46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</row>
    <row r="188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51"/>
      <c r="M188" s="51"/>
      <c r="N188" s="51"/>
      <c r="O188" s="51"/>
      <c r="P188" s="51"/>
      <c r="Q188" s="52"/>
      <c r="R188" s="52"/>
      <c r="S188" s="46"/>
      <c r="T188" s="46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</row>
    <row r="189">
      <c r="A189" s="46"/>
      <c r="B189" s="46"/>
      <c r="C189" s="46"/>
      <c r="D189" s="46"/>
      <c r="E189" s="46"/>
      <c r="F189" s="46"/>
      <c r="G189" s="52"/>
      <c r="H189" s="46"/>
      <c r="I189" s="46"/>
      <c r="J189" s="46"/>
      <c r="K189" s="46"/>
      <c r="L189" s="51"/>
      <c r="M189" s="51"/>
      <c r="N189" s="51"/>
      <c r="O189" s="51"/>
      <c r="P189" s="51"/>
      <c r="Q189" s="52"/>
      <c r="R189" s="52"/>
      <c r="S189" s="46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</row>
    <row r="190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51"/>
      <c r="M190" s="51"/>
      <c r="N190" s="51"/>
      <c r="O190" s="51"/>
      <c r="P190" s="51"/>
      <c r="Q190" s="52"/>
      <c r="R190" s="52"/>
      <c r="S190" s="46"/>
      <c r="T190" s="46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</row>
    <row r="191">
      <c r="A191" s="46"/>
      <c r="B191" s="46"/>
      <c r="C191" s="46"/>
      <c r="D191" s="46"/>
      <c r="E191" s="46"/>
      <c r="F191" s="46"/>
      <c r="G191" s="52"/>
      <c r="H191" s="46"/>
      <c r="I191" s="46"/>
      <c r="J191" s="46"/>
      <c r="K191" s="46"/>
      <c r="L191" s="51"/>
      <c r="M191" s="51"/>
      <c r="N191" s="51"/>
      <c r="O191" s="51"/>
      <c r="P191" s="51"/>
      <c r="Q191" s="52"/>
      <c r="R191" s="52"/>
      <c r="S191" s="46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</row>
    <row r="19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51"/>
      <c r="M192" s="51"/>
      <c r="N192" s="51"/>
      <c r="O192" s="51"/>
      <c r="P192" s="51"/>
      <c r="Q192" s="52"/>
      <c r="R192" s="52"/>
      <c r="S192" s="46"/>
      <c r="T192" s="46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</row>
    <row r="193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51"/>
      <c r="M193" s="51"/>
      <c r="N193" s="51"/>
      <c r="O193" s="51"/>
      <c r="P193" s="51"/>
      <c r="Q193" s="52"/>
      <c r="R193" s="52"/>
      <c r="S193" s="46"/>
      <c r="T193" s="46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</row>
    <row r="194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51"/>
      <c r="M194" s="51"/>
      <c r="N194" s="51"/>
      <c r="O194" s="51"/>
      <c r="P194" s="51"/>
      <c r="Q194" s="52"/>
      <c r="R194" s="52"/>
      <c r="S194" s="46"/>
      <c r="T194" s="46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</row>
    <row r="195">
      <c r="A195" s="46"/>
      <c r="B195" s="46"/>
      <c r="C195" s="46"/>
      <c r="D195" s="46"/>
      <c r="E195" s="46"/>
      <c r="F195" s="46"/>
      <c r="G195" s="52"/>
      <c r="H195" s="46"/>
      <c r="I195" s="46"/>
      <c r="J195" s="46"/>
      <c r="K195" s="46"/>
      <c r="L195" s="51"/>
      <c r="M195" s="51"/>
      <c r="N195" s="51"/>
      <c r="O195" s="51"/>
      <c r="P195" s="51"/>
      <c r="Q195" s="52"/>
      <c r="R195" s="52"/>
      <c r="S195" s="46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</row>
    <row r="196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51"/>
      <c r="M196" s="51"/>
      <c r="N196" s="51"/>
      <c r="O196" s="51"/>
      <c r="P196" s="51"/>
      <c r="Q196" s="52"/>
      <c r="R196" s="52"/>
      <c r="S196" s="46"/>
      <c r="T196" s="46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</row>
    <row r="197">
      <c r="A197" s="75"/>
      <c r="B197" s="72"/>
      <c r="C197" s="72"/>
      <c r="D197" s="72"/>
      <c r="E197" s="72"/>
      <c r="F197" s="72"/>
      <c r="G197" s="74"/>
      <c r="H197" s="72"/>
      <c r="I197" s="72"/>
      <c r="J197" s="72"/>
      <c r="K197" s="72"/>
      <c r="L197" s="73"/>
      <c r="M197" s="73"/>
      <c r="N197" s="73"/>
      <c r="O197" s="73"/>
      <c r="P197" s="73"/>
      <c r="Q197" s="74"/>
      <c r="R197" s="74"/>
      <c r="S197" s="72"/>
      <c r="T197" s="74"/>
      <c r="U197" s="74"/>
      <c r="V197" s="74"/>
      <c r="W197" s="74"/>
      <c r="X197" s="74"/>
      <c r="Y197" s="74"/>
      <c r="Z197" s="74"/>
      <c r="AA197" s="74"/>
      <c r="AB197" s="74"/>
      <c r="AC197" s="74"/>
      <c r="AD197" s="74"/>
      <c r="AE197" s="74"/>
    </row>
    <row r="198">
      <c r="A198" s="46"/>
      <c r="B198" s="46"/>
      <c r="C198" s="46"/>
      <c r="D198" s="46"/>
      <c r="E198" s="46"/>
      <c r="F198" s="46"/>
      <c r="G198" s="52"/>
      <c r="H198" s="46"/>
      <c r="I198" s="46"/>
      <c r="J198" s="46"/>
      <c r="K198" s="46"/>
      <c r="L198" s="51"/>
      <c r="M198" s="51"/>
      <c r="N198" s="51"/>
      <c r="O198" s="51"/>
      <c r="P198" s="51"/>
      <c r="Q198" s="52"/>
      <c r="R198" s="52"/>
      <c r="S198" s="46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</row>
    <row r="199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51"/>
      <c r="M199" s="51"/>
      <c r="N199" s="51"/>
      <c r="O199" s="51"/>
      <c r="P199" s="51"/>
      <c r="Q199" s="52"/>
      <c r="R199" s="52"/>
      <c r="S199" s="46"/>
      <c r="T199" s="46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</row>
    <row r="200">
      <c r="A200" s="46"/>
      <c r="B200" s="46"/>
      <c r="C200" s="46"/>
      <c r="D200" s="46"/>
      <c r="E200" s="46"/>
      <c r="F200" s="46"/>
      <c r="G200" s="52"/>
      <c r="H200" s="46"/>
      <c r="I200" s="46"/>
      <c r="J200" s="46"/>
      <c r="K200" s="46"/>
      <c r="L200" s="51"/>
      <c r="M200" s="51"/>
      <c r="N200" s="51"/>
      <c r="O200" s="51"/>
      <c r="P200" s="51"/>
      <c r="Q200" s="52"/>
      <c r="R200" s="52"/>
      <c r="S200" s="46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</row>
  </sheetData>
  <sortState ref="AH16:AH25">
    <sortCondition ref="AH16"/>
  </sortState>
  <pageMargins left="0.69999999999999996" right="0.69999999999999996" top="0.75" bottom="0.75" header="0.29999999999999999" footer="0.29999999999999999"/>
  <pageSetup orientation="portrait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ONLYOFFICE/7.3.3.50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Schwindt</cp:lastModifiedBy>
  <cp:lastPrinted>2011-06-06T22:54:05Z</cp:lastPrinted>
  <dcterms:created xsi:type="dcterms:W3CDTF">2010-05-24T21:40:28Z</dcterms:created>
  <dcterms:modified xsi:type="dcterms:W3CDTF">2021-10-08T06:37:08Z</dcterms:modified>
</cp:coreProperties>
</file>